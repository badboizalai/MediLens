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Settings" sheetId="3" state="visible" r:id="rId5"/>
    <sheet name="Roadmap" sheetId="4" state="visible" r:id="rId6"/>
    <sheet name="Gantt" sheetId="5" state="visible" r:id="rId7"/>
    <sheet name="Sprints" sheetId="6" state="visible" r:id="rId8"/>
    <sheet name="Daily Plan" sheetId="7" state="visible" r:id="rId9"/>
    <sheet name="Gates" sheetId="8" state="visible" r:id="rId10"/>
    <sheet name="Roles" sheetId="9" state="visible" r:id="rId11"/>
    <sheet name="Recurring" sheetId="10" state="visible" r:id="rId12"/>
    <sheet name="Holidays" sheetId="11" state="visible" r:id="rId13"/>
    <sheet name="Change Log" sheetId="12" state="visible" r:id="rId14"/>
  </sheets>
  <definedNames>
    <definedName function="false" hidden="true" localSheetId="6" name="_xlnm._FilterDatabase" vbProcedure="false">'Daily Plan'!$A$3:$R$263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sz val="10"/>
            <rFont val="Arial"/>
            <family val="2"/>
          </rPr>
          <t xml:space="preserve">Ô nhập: ngày bắt đầu Sprint 1 (nên là thứ Hai).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xdr:colOff>
                <xdr:row>2</xdr:row>
                <xdr:rowOff>29</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3" authorId="0">
      <text>
        <r>
          <rPr>
            <sz val="10"/>
            <rFont val="Arial"/>
            <family val="2"/>
          </rPr>
          <t xml:space="preserve">Ô nhập: Chưa làm / Đang làm / Xong / Trễ / Bỏ</t>
        </r>
      </text>
      <mc:AlternateContent>
        <mc:Choice Requires="v2">
          <commentPr autoFill="true" autoScale="false" colHidden="false" locked="false" rowHidden="false" textHAlign="justify" textVAlign="top">
            <anchor moveWithCells="false" sizeWithCells="false">
              <xdr:from>
                <xdr:col>1</xdr:col>
                <xdr:colOff>27</xdr:colOff>
                <xdr:row>0</xdr:row>
                <xdr:rowOff>2</xdr:rowOff>
              </xdr:from>
              <xdr:to>
                <xdr:col>3</xdr:col>
                <xdr:colOff>8</xdr:colOff>
                <xdr:row>2</xdr:row>
                <xdr:rowOff>29</xdr:rowOff>
              </xdr:to>
            </anchor>
          </commentPr>
        </mc:Choice>
        <mc:Fallback/>
      </mc:AlternateContent>
    </comment>
  </commentList>
</comments>
</file>

<file path=xl/sharedStrings.xml><?xml version="1.0" encoding="utf-8"?>
<sst xmlns="http://schemas.openxmlformats.org/spreadsheetml/2006/main" count="3061" uniqueCount="1663">
  <si>
    <t xml:space="preserve">MediLens — Kế hoạch sprint dài hạn 52 tuần / 26 sprint (VI/EN)</t>
  </si>
  <si>
    <t xml:space="preserve">Long-term sprint plan: 7 phase · 26 sprint × 10 ngày làm việc · 260 việc theo ngày · 14 cổng chất lượng</t>
  </si>
  <si>
    <t xml:space="preserve">Mục đích / Purpose</t>
  </si>
  <si>
    <t xml:space="preserve">File này chia toàn bộ dự án MediLens thành từng sprint và từng ngày làm việc. Mỗi ngày có một việc chính, role (mũ) đang đội, skill nên gọi cho agent, đầu ra và tiêu chí xong. This workbook breaks the project into sprints and working days; each day names the role, the agent skill to call, the deliverable and the definition of done.</t>
  </si>
  <si>
    <t xml:space="preserve">Tài liệu dự án đầy đủ (mục 22–29 giải thích vì sao có các việc này): https://claude.ai/code/artifact/364d9184-4a53-4093-bd32-f1a068f6ba92</t>
  </si>
  <si>
    <t xml:space="preserve">Cách dùng / How to use</t>
  </si>
  <si>
    <t xml:space="preserve">1. Sheet Settings: nhập Ngày bắt đầu (ô vàng). Toàn bộ ngày trong Daily Plan, Sprints, Gates, Gantt tự tính lại bằng WORKDAY, bỏ qua cuối tuần và ngày trong sheet Holidays.</t>
  </si>
  <si>
    <t xml:space="preserve">2. Sheet Daily Plan: mỗi ngày cập nhật Trạng thái (Chưa làm / Đang làm / Xong / Trễ / Bỏ), Giờ thực tế và Ghi chú — chỉ 3 cột này là ô nhập (nền vàng).</t>
  </si>
  <si>
    <t xml:space="preserve">3. Sheet Dashboard: xem sprint hiện tại, việc hôm nay, cổng kế tiếp, % hoàn thành so với tiến độ kỳ vọng.</t>
  </si>
  <si>
    <t xml:space="preserve">4. Cuối mỗi sprint (ngày 10): Review + Retro, cập nhật Sprints và Gates (Trạng thái cổng).</t>
  </si>
  <si>
    <t xml:space="preserve">5. Muốn đổi kế hoạch gốc (baseline)? Ghi vào Change Log trước rồi mới sửa Daily Plan — giống quy trình Change Request ở dự án lớn.</t>
  </si>
  <si>
    <t xml:space="preserve">6. Gọi agent: lấy tên trong cột Skill (ví dụ medilens-backend-engineer) để agent dùng đúng skill của role đó; với việc nhiều role, gọi medilens-orchestrator.</t>
  </si>
  <si>
    <t xml:space="preserve">Ý nghĩa màu / Colour legend</t>
  </si>
  <si>
    <t xml:space="preserve">Nền vàng + chữ xanh dương = ô bạn nhập. Hàng tím nhạt = ngày có cổng (gate). Hàng xanh lá = đã xong. Hàng đỏ nhạt = quá hạn. Hàng vàng đậm = việc của hôm nay. Màu cột Phase = màu phase trên Gantt.</t>
  </si>
  <si>
    <t xml:space="preserve">Giả định / Assumptions</t>
  </si>
  <si>
    <t xml:space="preserve">• Năng lực: 20 giờ/tuần (5 ngày × 4 giờ) như mục 1 của tài liệu. Đổi ở Settings!C5; cột Giờ KH tự cập nhật.</t>
  </si>
  <si>
    <t xml:space="preserve">• Ngày 1 mỗi sprint có Sprint Planning (1 giờ); ngày 10 dành cho Review, Retro và buffer (~10% thời gian). Cộng với việc giữ phạm vi bằng MoSCoW, đây là cách giữ buffer 20% theo mục 6.2.</t>
  </si>
  <si>
    <t xml:space="preserve">• Sprint luôn gồm 10 ngày làm việc liên tiếp. Ngày nghỉ lễ đẩy các sprint sau lùi lại, nên một sprint có thể bắt đầu giữa tuần; cột Tuần KH là tuần kế hoạch, không phải tuần lịch.</t>
  </si>
  <si>
    <t xml:space="preserve">• Mỗi ngày ghi một việc chính; việc lặp lại (daily note, chi phí hằng tuần, rà soát quý…) nằm ở sheet Recurring, không chiếm dòng riêng.</t>
  </si>
  <si>
    <t xml:space="preserve">• Lịch nghỉ trong Holidays là lịch của cán bộ, công chức (Tết 2027: 04–10/02/2027 theo thông báo của Bộ Nội vụ; 24/11 là ngày nghỉ mới theo Nghị quyết 28/2026/QH16). Nếu nơi bạn làm việc nghỉ khác, sửa sheet Holidays.</t>
  </si>
  <si>
    <t xml:space="preserve">• Role có dấu ★ (Clinical Safety Officer, Regulatory/Privacy, Data Curator) bạn vẫn đóng vai để học, nhưng cần người thật trước khi dùng dữ liệu thật hoặc ra mắt công khai (mục 23.3).</t>
  </si>
  <si>
    <t xml:space="preserve">• Mọi dữ liệu dùng trước cổng G3-P là synthetic hoặc công khai có license; không đưa dữ liệu bệnh nhân thật vào dev/staging.</t>
  </si>
  <si>
    <t xml:space="preserve">Danh sách sheet / Sheets</t>
  </si>
  <si>
    <t xml:space="preserve">Dashboard · Settings · Roadmap (7 phase) · Gantt (52 tuần) · Sprints (26) · Daily Plan (260 ngày) · Gates (14 cổng) · Roles (22 role + skill) · Recurring (việc định kỳ) · Holidays · Change Log</t>
  </si>
  <si>
    <t xml:space="preserve">Nguồn ngày nghỉ / Holiday sources</t>
  </si>
  <si>
    <t xml:space="preserve">Tết 2027: CafeF — Bộ Nội vụ thông báo lịch nghỉ Tết Nguyên đán Đinh Mùi 2027 (cafef.vn). 24/11: FPT Shop tóm tắt Nghị quyết 28/2026/QH16. Giỗ Tổ 16/04/2027: officeholidays.com. Các ngày còn lại: Bộ luật Lao động 2019.</t>
  </si>
  <si>
    <t xml:space="preserve">MediLens — Tổng quan tiến độ / Progress dashboard</t>
  </si>
  <si>
    <t xml:space="preserve">Tự cập nhật từ Daily Plan, Sprints, Gates. Không cần nhập gì ở sheet này.</t>
  </si>
  <si>
    <t xml:space="preserve">Chỉ số</t>
  </si>
  <si>
    <t xml:space="preserve">Metric</t>
  </si>
  <si>
    <t xml:space="preserve">Giá trị / Value</t>
  </si>
  <si>
    <t xml:space="preserve">Phase</t>
  </si>
  <si>
    <t xml:space="preserve">Bắt đầu</t>
  </si>
  <si>
    <t xml:space="preserve">Kết thúc</t>
  </si>
  <si>
    <t xml:space="preserve">Số việc</t>
  </si>
  <si>
    <t xml:space="preserve">Xong</t>
  </si>
  <si>
    <t xml:space="preserve">% xong</t>
  </si>
  <si>
    <t xml:space="preserve">Giờ KH</t>
  </si>
  <si>
    <t xml:space="preserve">Giờ TT</t>
  </si>
  <si>
    <t xml:space="preserve">Ngày bắt đầu</t>
  </si>
  <si>
    <t xml:space="preserve">Start date</t>
  </si>
  <si>
    <t xml:space="preserve">Ngày kết thúc dự kiến</t>
  </si>
  <si>
    <t xml:space="preserve">Planned end date</t>
  </si>
  <si>
    <t xml:space="preserve">Hôm nay</t>
  </si>
  <si>
    <t xml:space="preserve">Today</t>
  </si>
  <si>
    <t xml:space="preserve">Sprint hiện tại</t>
  </si>
  <si>
    <t xml:space="preserve">Current sprint</t>
  </si>
  <si>
    <t xml:space="preserve">Việc hôm nay</t>
  </si>
  <si>
    <t xml:space="preserve">Today's task</t>
  </si>
  <si>
    <t xml:space="preserve">Cổng kế tiếp</t>
  </si>
  <si>
    <t xml:space="preserve">Next gate</t>
  </si>
  <si>
    <t xml:space="preserve">Ngày cổng kế tiếp</t>
  </si>
  <si>
    <t xml:space="preserve">Next gate date</t>
  </si>
  <si>
    <t xml:space="preserve">Tổng số việc</t>
  </si>
  <si>
    <t xml:space="preserve">Total tasks</t>
  </si>
  <si>
    <t xml:space="preserve">Việc đã xong</t>
  </si>
  <si>
    <t xml:space="preserve">Tasks done</t>
  </si>
  <si>
    <t xml:space="preserve">% hoàn thành</t>
  </si>
  <si>
    <t xml:space="preserve">% complete</t>
  </si>
  <si>
    <t xml:space="preserve">Cổng</t>
  </si>
  <si>
    <t xml:space="preserve">Sprint</t>
  </si>
  <si>
    <t xml:space="preserve">Ngày dự kiến</t>
  </si>
  <si>
    <t xml:space="preserve">Trạng thái</t>
  </si>
  <si>
    <t xml:space="preserve">Tiến độ kỳ vọng tới hôm nay</t>
  </si>
  <si>
    <t xml:space="preserve">Expected progress to date</t>
  </si>
  <si>
    <t xml:space="preserve">Chênh lệch (âm = chậm)</t>
  </si>
  <si>
    <t xml:space="preserve">Variance (negative = behind)</t>
  </si>
  <si>
    <t xml:space="preserve">Việc quá hạn</t>
  </si>
  <si>
    <t xml:space="preserve">Overdue tasks</t>
  </si>
  <si>
    <t xml:space="preserve">Giờ kế hoạch</t>
  </si>
  <si>
    <t xml:space="preserve">Planned hours</t>
  </si>
  <si>
    <t xml:space="preserve">Giờ thực tế</t>
  </si>
  <si>
    <t xml:space="preserve">Actual hours</t>
  </si>
  <si>
    <t xml:space="preserve">Status</t>
  </si>
  <si>
    <t xml:space="preserve">Chưa làm</t>
  </si>
  <si>
    <t xml:space="preserve">Not started</t>
  </si>
  <si>
    <t xml:space="preserve">Đang làm</t>
  </si>
  <si>
    <t xml:space="preserve">In progress</t>
  </si>
  <si>
    <t xml:space="preserve">Done</t>
  </si>
  <si>
    <t xml:space="preserve">Trễ</t>
  </si>
  <si>
    <t xml:space="preserve">Late</t>
  </si>
  <si>
    <t xml:space="preserve">Bỏ</t>
  </si>
  <si>
    <t xml:space="preserve">Dropped</t>
  </si>
  <si>
    <t xml:space="preserve">Cài đặt / Settings</t>
  </si>
  <si>
    <t xml:space="preserve">Chỉ sửa ô nền vàng. Edit yellow cells only.</t>
  </si>
  <si>
    <t xml:space="preserve">Tham số</t>
  </si>
  <si>
    <t xml:space="preserve">Parameter</t>
  </si>
  <si>
    <t xml:space="preserve">Ghi chú / Note</t>
  </si>
  <si>
    <t xml:space="preserve">Ngày bắt đầu Sprint 1</t>
  </si>
  <si>
    <t xml:space="preserve">Sprint 1 start date</t>
  </si>
  <si>
    <t xml:space="preserve">Nhập một ngày thứ Hai. Mặc định 19/10/2026 (thứ Hai sau ngày lập kế hoạch 16/10/2026).</t>
  </si>
  <si>
    <t xml:space="preserve">Số giờ mỗi ngày làm việc</t>
  </si>
  <si>
    <t xml:space="preserve">Hours per working day</t>
  </si>
  <si>
    <t xml:space="preserve">20 giờ/tuần part-time theo mục 1 của tài liệu (5 ngày × 4 giờ).</t>
  </si>
  <si>
    <t xml:space="preserve">Số ngày làm việc mỗi tuần</t>
  </si>
  <si>
    <t xml:space="preserve">Working days per week</t>
  </si>
  <si>
    <t xml:space="preserve">Thứ Hai–Thứ Sáu; WORKDAY bỏ qua cuối tuần và ngày trong Holidays.</t>
  </si>
  <si>
    <t xml:space="preserve">Số giờ mỗi tuần</t>
  </si>
  <si>
    <t xml:space="preserve">Hours per week</t>
  </si>
  <si>
    <t xml:space="preserve">Tính từ 2 ô trên.</t>
  </si>
  <si>
    <t xml:space="preserve">Số ngày mỗi sprint</t>
  </si>
  <si>
    <t xml:space="preserve">Days per sprint</t>
  </si>
  <si>
    <t xml:space="preserve">Sprint 2 tuần.</t>
  </si>
  <si>
    <t xml:space="preserve">Tổng số sprint</t>
  </si>
  <si>
    <t xml:space="preserve">Total sprints</t>
  </si>
  <si>
    <t xml:space="preserve">Tổng số ngày làm việc</t>
  </si>
  <si>
    <t xml:space="preserve">Total working days</t>
  </si>
  <si>
    <t xml:space="preserve">Thay đổi khi đổi ngày bắt đầu hoặc thêm ngày nghỉ.</t>
  </si>
  <si>
    <t xml:space="preserve">Tổng giờ kế hoạch</t>
  </si>
  <si>
    <t xml:space="preserve">Total planned hours</t>
  </si>
  <si>
    <t xml:space="preserve">Lộ trình 7 phase / Roadmap</t>
  </si>
  <si>
    <t xml:space="preserve">Thay cho lộ trình 32 tuần ở mục 5 của tài liệu: v1.0 vẫn ra mắt ở tuần 32, sau đó v1.5 (tuần 33–40) và v2.0 (tuần 41–52).</t>
  </si>
  <si>
    <t xml:space="preserve">Tên (VI)</t>
  </si>
  <si>
    <t xml:space="preserve">Name (EN)</t>
  </si>
  <si>
    <t xml:space="preserve">Sprint từ</t>
  </si>
  <si>
    <t xml:space="preserve">Sprint đến</t>
  </si>
  <si>
    <t xml:space="preserve">Tuần KH</t>
  </si>
  <si>
    <t xml:space="preserve">Mục tiêu (VI)</t>
  </si>
  <si>
    <t xml:space="preserve">Objective (EN)</t>
  </si>
  <si>
    <t xml:space="preserve">Cổng ra</t>
  </si>
  <si>
    <t xml:space="preserve">Phát hành</t>
  </si>
  <si>
    <t xml:space="preserve">P0 · Khởi tạo &amp; Discovery</t>
  </si>
  <si>
    <t xml:space="preserve">Khởi tạo &amp; Discovery</t>
  </si>
  <si>
    <t xml:space="preserve">Initiation &amp; Discovery</t>
  </si>
  <si>
    <t xml:space="preserve">S01</t>
  </si>
  <si>
    <t xml:space="preserve">S02</t>
  </si>
  <si>
    <t xml:space="preserve">1–4</t>
  </si>
  <si>
    <t xml:space="preserve">Charter, intended use, nghiên cứu người dùng, khóa phạm vi MVP, golden set v0, chọn OCR</t>
  </si>
  <si>
    <t xml:space="preserve">Charter, intended use, user research, MVP scope, golden set v0, OCR choice</t>
  </si>
  <si>
    <t xml:space="preserve">G0, G0-R</t>
  </si>
  <si>
    <t xml:space="preserve">P1 · Foundation</t>
  </si>
  <si>
    <t xml:space="preserve">Foundation</t>
  </si>
  <si>
    <t xml:space="preserve">S03</t>
  </si>
  <si>
    <t xml:space="preserve">S05</t>
  </si>
  <si>
    <t xml:space="preserve">5–10</t>
  </si>
  <si>
    <t xml:space="preserve">Repo, CI/CD, landing zone AWS, data model, ranh giới PHI mức A, pipeline AI tối giản trên staging</t>
  </si>
  <si>
    <t xml:space="preserve">Repo, CI/CD, AWS landing zone, data model, level-A PHI boundary, minimal AI pipeline on staging</t>
  </si>
  <si>
    <t xml:space="preserve">G1, G1-D (lần 1)</t>
  </si>
  <si>
    <t xml:space="preserve">P2 · Build MVP</t>
  </si>
  <si>
    <t xml:space="preserve">Build MVP</t>
  </si>
  <si>
    <t xml:space="preserve">S06</t>
  </si>
  <si>
    <t xml:space="preserve">S11</t>
  </si>
  <si>
    <t xml:space="preserve">11–22</t>
  </si>
  <si>
    <t xml:space="preserve">Upload → OCR → trích xuất → review, viewer 2D/3D, 3 Unit, RAG có guardrail, timeline, chia sẻ, mô tả text</t>
  </si>
  <si>
    <t xml:space="preserve">Upload → OCR → extraction → review, 2D/3D viewer, 3 Units, guarded RAG, timeline, sharing, text input</t>
  </si>
  <si>
    <t xml:space="preserve">G2</t>
  </si>
  <si>
    <t xml:space="preserve">P3 · Hardening</t>
  </si>
  <si>
    <t xml:space="preserve">Hardening</t>
  </si>
  <si>
    <t xml:space="preserve">S12</t>
  </si>
  <si>
    <t xml:space="preserve">S14</t>
  </si>
  <si>
    <t xml:space="preserve">23–28</t>
  </si>
  <si>
    <t xml:space="preserve">Bảo mật mức B, hiệu năng, a11y, an toàn lâm sàng, pháp lý, pentest độc lập, prod sẵn sàng</t>
  </si>
  <si>
    <t xml:space="preserve">Level-B security, performance, a11y, clinical safety, regulatory, external pentest, prod ready</t>
  </si>
  <si>
    <t xml:space="preserve">G2-CS, G3, G3-P</t>
  </si>
  <si>
    <t xml:space="preserve">P4 · Beta &amp; Launch v1.0</t>
  </si>
  <si>
    <t xml:space="preserve">Beta &amp; Launch v1.0</t>
  </si>
  <si>
    <t xml:space="preserve">S15</t>
  </si>
  <si>
    <t xml:space="preserve">S16</t>
  </si>
  <si>
    <t xml:space="preserve">29–32</t>
  </si>
  <si>
    <t xml:space="preserve">Beta kín 10–20 người, UAT, phát hành v1.0, bắt đầu hypercare</t>
  </si>
  <si>
    <t xml:space="preserve">Closed beta (10–20 users), UAT, v1.0 release, hypercare starts</t>
  </si>
  <si>
    <t xml:space="preserve">G4</t>
  </si>
  <si>
    <t xml:space="preserve">v1.0</t>
  </si>
  <si>
    <t xml:space="preserve">P5 · Hypercare &amp; v1.5</t>
  </si>
  <si>
    <t xml:space="preserve">Hypercare &amp; v1.5</t>
  </si>
  <si>
    <t xml:space="preserve">S17</t>
  </si>
  <si>
    <t xml:space="preserve">S20</t>
  </si>
  <si>
    <t xml:space="preserve">33–40</t>
  </si>
  <si>
    <t xml:space="preserve">Thoát hypercare, nhập bệnh án số (PDF/DOCX/FHIR), thư viện template giải phẫu, thêm 2 Unit, cascade đầy đủ, dữ liệu tầng 3–4</t>
  </si>
  <si>
    <t xml:space="preserve">Exit hypercare, digital record import (PDF/DOCX/FHIR), anatomy template library, 2 more Units, full cascade, tier 3–4 data</t>
  </si>
  <si>
    <t xml:space="preserve">G5-H, G5</t>
  </si>
  <si>
    <t xml:space="preserve">v1.5</t>
  </si>
  <si>
    <t xml:space="preserve">P6 · v2.0 — CT &amp; giải phẫu cá nhân</t>
  </si>
  <si>
    <t xml:space="preserve">v2.0 — CT &amp; giải phẫu cá nhân</t>
  </si>
  <si>
    <t xml:space="preserve">v2.0 — CT &amp; patient-specific anatomy</t>
  </si>
  <si>
    <t xml:space="preserve">S21</t>
  </si>
  <si>
    <t xml:space="preserve">S26</t>
  </si>
  <si>
    <t xml:space="preserve">41–52</t>
  </si>
  <si>
    <t xml:space="preserve">Tái đánh giá pháp lý cho CT, DICOM an toàn, segmentation, mesh cá nhân, registration, distillation, FHIR export, đóng năm 1</t>
  </si>
  <si>
    <t xml:space="preserve">Regulatory re-assessment for CT, safe DICOM, segmentation, patient mesh, registration, distillation, FHIR export, year-1 closure</t>
  </si>
  <si>
    <t xml:space="preserve">G0-R (CT), G1-D (lần 2), G6</t>
  </si>
  <si>
    <t xml:space="preserve">v2.0</t>
  </si>
  <si>
    <t xml:space="preserve">Tổng / Total</t>
  </si>
  <si>
    <t xml:space="preserve">Gantt 52 tuần / 52-week Gantt</t>
  </si>
  <si>
    <t xml:space="preserve">Mỗi ô = 1 tuần kế hoạch (5 ngày làm việc). ◆ = tuần có cổng. Hàng 4: ngày bắt đầu tuần, tính từ Daily Plan.</t>
  </si>
  <si>
    <t xml:space="preserve">Bắt đầu tuần</t>
  </si>
  <si>
    <t xml:space="preserve">◆</t>
  </si>
  <si>
    <t xml:space="preserve">S04</t>
  </si>
  <si>
    <t xml:space="preserve">S07</t>
  </si>
  <si>
    <t xml:space="preserve">S08</t>
  </si>
  <si>
    <t xml:space="preserve">S09</t>
  </si>
  <si>
    <t xml:space="preserve">S10</t>
  </si>
  <si>
    <t xml:space="preserve">S13</t>
  </si>
  <si>
    <t xml:space="preserve">S18</t>
  </si>
  <si>
    <t xml:space="preserve">S19</t>
  </si>
  <si>
    <t xml:space="preserve">S22</t>
  </si>
  <si>
    <t xml:space="preserve">S23</t>
  </si>
  <si>
    <t xml:space="preserve">S24</t>
  </si>
  <si>
    <t xml:space="preserve">S25</t>
  </si>
  <si>
    <t xml:space="preserve">Chú giải màu phase:</t>
  </si>
  <si>
    <t xml:space="preserve">P0 · Khởi tạo &amp; Discovery / Initiation &amp; Discovery</t>
  </si>
  <si>
    <t xml:space="preserve">P1 · Foundation / Foundation</t>
  </si>
  <si>
    <t xml:space="preserve">P2 · Build MVP / Build MVP</t>
  </si>
  <si>
    <t xml:space="preserve">P3 · Hardening / Hardening</t>
  </si>
  <si>
    <t xml:space="preserve">P4 · Beta &amp; Launch v1.0 / Beta &amp; Launch v1.0</t>
  </si>
  <si>
    <t xml:space="preserve">P5 · Hypercare &amp; v1.5 / Hypercare &amp; v1.5</t>
  </si>
  <si>
    <t xml:space="preserve">P6 · v2.0 — CT &amp; giải phẫu cá nhân / v2.0 — CT &amp; patient-specific anatomy</t>
  </si>
  <si>
    <t xml:space="preserve">26 sprint / Sprint overview</t>
  </si>
  <si>
    <t xml:space="preserve">Ngày bắt đầu/kết thúc, giờ và % xong tự tính từ Daily Plan.</t>
  </si>
  <si>
    <t xml:space="preserve">Mục tiêu sprint (VI)</t>
  </si>
  <si>
    <t xml:space="preserve">Sprint goal (EN)</t>
  </si>
  <si>
    <t xml:space="preserve">Demo cuối sprint</t>
  </si>
  <si>
    <t xml:space="preserve">Role trong sprint (kế hoạch gốc)</t>
  </si>
  <si>
    <t xml:space="preserve">Rủi ro trọng tâm</t>
  </si>
  <si>
    <t xml:space="preserve">Việc xong</t>
  </si>
  <si>
    <t xml:space="preserve">1–2</t>
  </si>
  <si>
    <t xml:space="preserve">Khởi tạo dự án: charter, intended use, nghiên cứu người dùng</t>
  </si>
  <si>
    <t xml:space="preserve">Initiate the project: charter, intended use, user research</t>
  </si>
  <si>
    <t xml:space="preserve">Charter + Intended Use + tổng hợp 5 cuộc phỏng vấn</t>
  </si>
  <si>
    <t xml:space="preserve">PM, REG, BA, UX, CSO</t>
  </si>
  <si>
    <t xml:space="preserve">Bỏ qua khởi tạo vì muốn code ngay</t>
  </si>
  <si>
    <t xml:space="preserve">3–4</t>
  </si>
  <si>
    <t xml:space="preserve">Khóa phạm vi MVP, BRD, prototype, golden set v0, chọn OCR → G0, G0-R</t>
  </si>
  <si>
    <t xml:space="preserve">Lock MVP scope, BRD, prototype, golden set v0, OCR choice → G0, G0-R</t>
  </si>
  <si>
    <t xml:space="preserve">Prototype click-through + báo cáo bake-off OCR</t>
  </si>
  <si>
    <t xml:space="preserve">BA, UX, AI, DC, SA, REG, QC</t>
  </si>
  <si>
    <t xml:space="preserve">Scope creep: muốn làm mọi Khoa cùng lúc</t>
  </si>
  <si>
    <t xml:space="preserve">5–6</t>
  </si>
  <si>
    <t xml:space="preserve">Nền móng kỹ thuật: repo, CI, landing zone AWS, VPC Terraform, khung auth</t>
  </si>
  <si>
    <t xml:space="preserve">Engineering foundation: repo, CI, AWS landing zone, Terraform VPC, auth skeleton</t>
  </si>
  <si>
    <t xml:space="preserve">Đăng nhập → trang trống trên môi trường nonprod</t>
  </si>
  <si>
    <t xml:space="preserve">SA, OPS, BE, FE, SEC, PM</t>
  </si>
  <si>
    <t xml:space="preserve">Sa đà hạ tầng &gt; 25% thời gian sprint</t>
  </si>
  <si>
    <t xml:space="preserve">7–8</t>
  </si>
  <si>
    <t xml:space="preserve">Data model, ranh giới PHI mức A, upload an toàn, design system</t>
  </si>
  <si>
    <t xml:space="preserve">Data model, level-A PHI boundary, secure upload, design system</t>
  </si>
  <si>
    <t xml:space="preserve">Upload ảnh vào bucket quarantine; file độc bị chặn</t>
  </si>
  <si>
    <t xml:space="preserve">BE, OPS, UX, FE, DE, QA</t>
  </si>
  <si>
    <t xml:space="preserve">Lộ PHI do thiết kế schema sai</t>
  </si>
  <si>
    <t xml:space="preserve">9–10</t>
  </si>
  <si>
    <t xml:space="preserve">Pipeline AI tối giản end-to-end trên staging; AI Gateway v0 → G1, G1-D (dữ liệu đánh giá)</t>
  </si>
  <si>
    <t xml:space="preserve">Minimal end-to-end AI pipeline on staging; AI Gateway v0 → G1, G1-D (evaluation data)</t>
  </si>
  <si>
    <t xml:space="preserve">1 ảnh bệnh án → JSON có trích dẫn trên staging</t>
  </si>
  <si>
    <t xml:space="preserve">G1-D, G1</t>
  </si>
  <si>
    <t xml:space="preserve">AI, MLO, OPS, CIN, DC, QC</t>
  </si>
  <si>
    <t xml:space="preserve">LLM bịa thông tin; chi phí token tăng</t>
  </si>
  <si>
    <t xml:space="preserve">11–12</t>
  </si>
  <si>
    <t xml:space="preserve">Upload an toàn + state machine + OCR, trạng thái realtime</t>
  </si>
  <si>
    <t xml:space="preserve">Secure upload + state machine + OCR with realtime status</t>
  </si>
  <si>
    <t xml:space="preserve">Upload ảnh, thấy text OCR và trạng thái realtime</t>
  </si>
  <si>
    <t xml:space="preserve">BA, FE, BE, AI, QA, SEC, TW, PM</t>
  </si>
  <si>
    <t xml:space="preserve">OCR kém với ảnh điện thoại</t>
  </si>
  <si>
    <t xml:space="preserve">13–14</t>
  </si>
  <si>
    <t xml:space="preserve">Trích xuất LLM + màn Review + cascade model v1</t>
  </si>
  <si>
    <t xml:space="preserve">LLM extraction + Review screen + model cascade v1</t>
  </si>
  <si>
    <t xml:space="preserve">Sửa và xác nhận kết quả, highlight bounding box</t>
  </si>
  <si>
    <t xml:space="preserve">AI, BE, FE, MLO, QA, CSO, DE, PM</t>
  </si>
  <si>
    <t xml:space="preserve">Hallucination; người dùng tin AI tuyệt đối</t>
  </si>
  <si>
    <t xml:space="preserve">15–16</t>
  </si>
  <si>
    <t xml:space="preserve">Viewer 2D toàn thân + Unit Răng hàm mặt</t>
  </si>
  <si>
    <t xml:space="preserve">2D whole-body viewer + Dental Unit</t>
  </si>
  <si>
    <t xml:space="preserve">Sơ đồ răng FDI tô màu theo bệnh án</t>
  </si>
  <si>
    <t xml:space="preserve">UX, ART, FE, BE, AI, CIN, QA, CSO, PM</t>
  </si>
  <si>
    <t xml:space="preserve">Sai số răng/bên</t>
  </si>
  <si>
    <t xml:space="preserve">17–18</t>
  </si>
  <si>
    <t xml:space="preserve">Viewer 3D + Unit Tim mạch</t>
  </si>
  <si>
    <t xml:space="preserve">3D viewer + Cardiology Unit</t>
  </si>
  <si>
    <t xml:space="preserve">Xoay/zoom mô hình, bấm vùng xem chi tiết</t>
  </si>
  <si>
    <t xml:space="preserve">FE, ART, BE, AI, UX, QA, SEC, PM</t>
  </si>
  <si>
    <t xml:space="preserve">3D giật trên máy yếu</t>
  </si>
  <si>
    <t xml:space="preserve">19–20</t>
  </si>
  <si>
    <t xml:space="preserve">Unit Ung bướu + giải thích RAG có guardrail</t>
  </si>
  <si>
    <t xml:space="preserve">Oncology Unit + guarded RAG explanations</t>
  </si>
  <si>
    <t xml:space="preserve">Khối u, hạch, di căn; hỏi đáp có trích dẫn</t>
  </si>
  <si>
    <t xml:space="preserve">BA, AI, FE, TW, MLO, QA, CSO, PM</t>
  </si>
  <si>
    <t xml:space="preserve">Hình ảnh ung thư gây sợ; trả lời vượt phạm vi</t>
  </si>
  <si>
    <t xml:space="preserve">21–22</t>
  </si>
  <si>
    <t xml:space="preserve">Timeline pre/post, mô tả bằng text, chia sẻ, admin, quyền dữ liệu → G2</t>
  </si>
  <si>
    <t xml:space="preserve">Pre/post timeline, text descriptions, sharing, admin, data rights → G2</t>
  </si>
  <si>
    <t xml:space="preserve">So sánh hai lần khám, chia sẻ có hạn cho bác sĩ</t>
  </si>
  <si>
    <t xml:space="preserve">FE, BE, QA, AI, TW, QC</t>
  </si>
  <si>
    <t xml:space="preserve">Lỗi phân quyền khi chia sẻ</t>
  </si>
  <si>
    <t xml:space="preserve">23–24</t>
  </si>
  <si>
    <t xml:space="preserve">Bảo mật mức B, hiệu năng, khả năng truy cập</t>
  </si>
  <si>
    <t xml:space="preserve">Level-B security, performance, accessibility</t>
  </si>
  <si>
    <t xml:space="preserve">Báo cáo load test + DAST sạch + kiến trúc mức B</t>
  </si>
  <si>
    <t xml:space="preserve">SEC, OPS, BE, QA, FE, SRE, PM</t>
  </si>
  <si>
    <t xml:space="preserve">Phát hiện lỗ hổng muộn</t>
  </si>
  <si>
    <t xml:space="preserve">25–26</t>
  </si>
  <si>
    <t xml:space="preserve">An toàn lâm sàng, pháp lý, usability tổng kết → G2-CS</t>
  </si>
  <si>
    <t xml:space="preserve">Clinical safety, regulatory, summative usability → G2-CS</t>
  </si>
  <si>
    <t xml:space="preserve">Clinical Safety Case + kết quả xác thực bởi bác sĩ</t>
  </si>
  <si>
    <t xml:space="preserve">G2-CS</t>
  </si>
  <si>
    <t xml:space="preserve">CSO, UX, REG, SEC, SRE, QC</t>
  </si>
  <si>
    <t xml:space="preserve">Không có bác sĩ thật ký duyệt</t>
  </si>
  <si>
    <t xml:space="preserve">27–28</t>
  </si>
  <si>
    <t xml:space="preserve">Pentest độc lập, UAT, prod sẵn sàng → G3, G3-P</t>
  </si>
  <si>
    <t xml:space="preserve">Independent pentest, UAT, production ready → G3, G3-P</t>
  </si>
  <si>
    <t xml:space="preserve">Readiness report GO + prod rollback test</t>
  </si>
  <si>
    <t xml:space="preserve">G3, G3-P</t>
  </si>
  <si>
    <t xml:space="preserve">SEC, BE, AI, QA, TW, SUP, OPS, QC</t>
  </si>
  <si>
    <t xml:space="preserve">Finding High phải sửa gấp làm trễ launch</t>
  </si>
  <si>
    <t xml:space="preserve">29–30</t>
  </si>
  <si>
    <t xml:space="preserve">Beta kín 10–20 người</t>
  </si>
  <si>
    <t xml:space="preserve">Closed beta with 10–20 users</t>
  </si>
  <si>
    <t xml:space="preserve">Báo cáo beta tuần 1–2</t>
  </si>
  <si>
    <t xml:space="preserve">PM, OPS, SUP, SRE, BA, BE, AI, CSO, DE</t>
  </si>
  <si>
    <t xml:space="preserve">Người beta dùng dữ liệu thật trước khi sẵn sàng</t>
  </si>
  <si>
    <t xml:space="preserve">31–32</t>
  </si>
  <si>
    <t xml:space="preserve">Phát hành v1.0 → G4</t>
  </si>
  <si>
    <t xml:space="preserve">Release v1.0 → G4</t>
  </si>
  <si>
    <t xml:space="preserve">v1.0 chạy trên prod + báo cáo tuần đầu</t>
  </si>
  <si>
    <t xml:space="preserve">PM, QA, TW, QC, OPS, SRE, SUP, FE, DE</t>
  </si>
  <si>
    <t xml:space="preserve">Sự cố ngày đầu ra mắt</t>
  </si>
  <si>
    <t xml:space="preserve">33–34</t>
  </si>
  <si>
    <t xml:space="preserve">Hypercare + nhập bệnh án số (PDF có lớp chữ, DOCX, FHIR)</t>
  </si>
  <si>
    <t xml:space="preserve">Hypercare + digital record import (text-layer PDF, DOCX, FHIR)</t>
  </si>
  <si>
    <t xml:space="preserve">Nhập PDF/FHIR → finding không qua OCR/LLM</t>
  </si>
  <si>
    <t xml:space="preserve">PM, BE, CIN, QA, AI, MLO, SUP, SRE</t>
  </si>
  <si>
    <t xml:space="preserve">File nhập độc hại; FHIR không chuẩn</t>
  </si>
  <si>
    <t xml:space="preserve">35–36</t>
  </si>
  <si>
    <t xml:space="preserve">Thư viện template giải phẫu + data donation opt-in → G5-H</t>
  </si>
  <si>
    <t xml:space="preserve">Anatomy template library + opt-in data donation → G5-H</t>
  </si>
  <si>
    <t xml:space="preserve">Template theo giới/tuổi, ẩn cơ quan đã cắt, biểu tượng implant</t>
  </si>
  <si>
    <t xml:space="preserve">G5-H</t>
  </si>
  <si>
    <t xml:space="preserve">UX, ART, FE, BE, REG, DC, QA, CSO, SUP, QC</t>
  </si>
  <si>
    <t xml:space="preserve">Hiển thị sai giải phẫu đặc biệt</t>
  </si>
  <si>
    <t xml:space="preserve">37–38</t>
  </si>
  <si>
    <t xml:space="preserve">Thêm Unit Hô hấp, Thận–Tiết niệu + cascade model đầy đủ</t>
  </si>
  <si>
    <t xml:space="preserve">Add Respiratory and Nephrology–Urology Units + full model cascade</t>
  </si>
  <si>
    <t xml:space="preserve">2 Unit mới + dashboard chi phí theo tầng</t>
  </si>
  <si>
    <t xml:space="preserve">BA, ART, BE, AI, MLO, FE, CIN, QA, PM</t>
  </si>
  <si>
    <t xml:space="preserve">Chi phí tăng khi thêm Unit</t>
  </si>
  <si>
    <t xml:space="preserve">39–40</t>
  </si>
  <si>
    <t xml:space="preserve">Hợp tác dữ liệu, gán nhãn, phát hành v1.5 → G5</t>
  </si>
  <si>
    <t xml:space="preserve">Data partnership, annotation, v1.5 release → G5</t>
  </si>
  <si>
    <t xml:space="preserve">Kết quả gán nhãn thử (kappa) + v1.5 trên prod</t>
  </si>
  <si>
    <t xml:space="preserve">G5</t>
  </si>
  <si>
    <t xml:space="preserve">PM, REG, DC, AI, SEC, QA, TW, OPS, QC</t>
  </si>
  <si>
    <t xml:space="preserve">Nhãn kém chất lượng; vướng thỏa thuận dữ liệu</t>
  </si>
  <si>
    <t xml:space="preserve">41–42</t>
  </si>
  <si>
    <t xml:space="preserve">Tái đánh giá pháp lý cho CT + tiếp nhận DICOM an toàn</t>
  </si>
  <si>
    <t xml:space="preserve">Regulatory re-assessment for CT + safe DICOM intake</t>
  </si>
  <si>
    <t xml:space="preserve">Upload series CT → DICOM đã khử định danh</t>
  </si>
  <si>
    <t xml:space="preserve">G0-R (CT)</t>
  </si>
  <si>
    <t xml:space="preserve">REG, IMG, SA, SEC, BE, DC, CSO, QA, QC</t>
  </si>
  <si>
    <t xml:space="preserve">Vượt ranh giới SaMD; PHI trong header/ảnh</t>
  </si>
  <si>
    <t xml:space="preserve">43–44</t>
  </si>
  <si>
    <t xml:space="preserve">Viewer lát cắt + segmentation + dựng mesh từ CT</t>
  </si>
  <si>
    <t xml:space="preserve">Slice viewer + segmentation + mesh from CT</t>
  </si>
  <si>
    <t xml:space="preserve">Xem lát cắt và mesh cơ quan dựng từ CT mẫu</t>
  </si>
  <si>
    <t xml:space="preserve">G1-D (lần 2)</t>
  </si>
  <si>
    <t xml:space="preserve">FE, IMG, MLO, QA, DC, AI, PM</t>
  </si>
  <si>
    <t xml:space="preserve">Chi phí GPU; mesh nặng</t>
  </si>
  <si>
    <t xml:space="preserve">45–46</t>
  </si>
  <si>
    <t xml:space="preserve">Căn chỉnh với template (registration) + liên kết báo cáo CT</t>
  </si>
  <si>
    <t xml:space="preserve">Template registration + linking CT reports</t>
  </si>
  <si>
    <t xml:space="preserve">So sánh template và giải phẫu cá nhân; finding đúng vị trí</t>
  </si>
  <si>
    <t xml:space="preserve">IMG, FE, BE, AI, CSO, UX, QA, PM</t>
  </si>
  <si>
    <t xml:space="preserve">Sai số căn chỉnh làm lệch vị trí</t>
  </si>
  <si>
    <t xml:space="preserve">47–48</t>
  </si>
  <si>
    <t xml:space="preserve">Distillation + tối ưu chi phí model</t>
  </si>
  <si>
    <t xml:space="preserve">Distillation + model cost optimisation</t>
  </si>
  <si>
    <t xml:space="preserve">Model nhỏ chạy shadow mode, so sánh chi phí/chất lượng</t>
  </si>
  <si>
    <t xml:space="preserve">MLO, AI, DE, SEC, REG, QA, PM</t>
  </si>
  <si>
    <t xml:space="preserve">Model nhỏ kém hơn ở ca khó</t>
  </si>
  <si>
    <t xml:space="preserve">49–50</t>
  </si>
  <si>
    <t xml:space="preserve">FHIR export, hardening v2, xác thực lâm sàng CT</t>
  </si>
  <si>
    <t xml:space="preserve">FHIR export, v2 hardening, CT clinical validation</t>
  </si>
  <si>
    <t xml:space="preserve">Xuất FHIR Bundle hợp lệ; báo cáo xác thực CT</t>
  </si>
  <si>
    <t xml:space="preserve">CIN, BE, SEC, CSO, QA, SRE, TW, SUP, QC, PM</t>
  </si>
  <si>
    <t xml:space="preserve">Thiếu thời gian hardening trước v2</t>
  </si>
  <si>
    <t xml:space="preserve">51–52</t>
  </si>
  <si>
    <t xml:space="preserve">Phát hành v2.0 + đóng năm 1 → G6</t>
  </si>
  <si>
    <t xml:space="preserve">Release v2.0 + year-1 closure → G6</t>
  </si>
  <si>
    <t xml:space="preserve">v2.0 trên prod + closure report</t>
  </si>
  <si>
    <t xml:space="preserve">G6</t>
  </si>
  <si>
    <t xml:space="preserve">PM, OPS, SRE, REG, TW, QC</t>
  </si>
  <si>
    <t xml:space="preserve">Không đóng dự án, thiếu bài học</t>
  </si>
  <si>
    <t xml:space="preserve">Kế hoạch theo ngày / Daily plan — 260 ngày làm việc</t>
  </si>
  <si>
    <t xml:space="preserve">Ô vàng = nhập (Giờ TT, Trạng thái, Ghi chú). Ngày tự tính từ Settings!C4 + Holidays. Cột Skill = skill agent cần gọi.</t>
  </si>
  <si>
    <t xml:space="preserve">Ngày #</t>
  </si>
  <si>
    <t xml:space="preserve">Ngày / Date</t>
  </si>
  <si>
    <t xml:space="preserve">Ngày trong sprint</t>
  </si>
  <si>
    <t xml:space="preserve">Role</t>
  </si>
  <si>
    <t xml:space="preserve">Skill (agent)</t>
  </si>
  <si>
    <t xml:space="preserve">Việc (VI)</t>
  </si>
  <si>
    <t xml:space="preserve">Task (EN)</t>
  </si>
  <si>
    <t xml:space="preserve">Đầu ra / Deliverable</t>
  </si>
  <si>
    <t xml:space="preserve">Tiêu chí xong (DoD)</t>
  </si>
  <si>
    <t xml:space="preserve">Cổng / Gate</t>
  </si>
  <si>
    <t xml:space="preserve">Cảnh báo</t>
  </si>
  <si>
    <t xml:space="preserve">Ghi chú</t>
  </si>
  <si>
    <t xml:space="preserve">PM</t>
  </si>
  <si>
    <t xml:space="preserve">Sprint Planning (1h); viết Project Charter 2 trang: mục tiêu, phạm vi, ngân sách, tiêu chí thành công</t>
  </si>
  <si>
    <t xml:space="preserve">Sprint Planning (1h); write a 2-page Project Charter: goals, scope, budget, success criteria</t>
  </si>
  <si>
    <t xml:space="preserve">docs/00-charter.md</t>
  </si>
  <si>
    <t xml:space="preserve">≥ 3 mục tiêu đo được, ngân sách tháng, top-5 rủi ro</t>
  </si>
  <si>
    <t xml:space="preserve">Business case (có phương án 'không làm'); stakeholder register; quản trị: steering = bạn + mentor + bác sĩ cố vấn</t>
  </si>
  <si>
    <t xml:space="preserve">Business case incl. do-nothing option; stakeholder register; governance: steering = you + mentor + clinical advisor</t>
  </si>
  <si>
    <t xml:space="preserve">business-case.md, stakeholders.md</t>
  </si>
  <si>
    <t xml:space="preserve">Steering có tên người, lịch họp cuối mỗi phase, mẫu báo cáo tháng</t>
  </si>
  <si>
    <t xml:space="preserve">REG</t>
  </si>
  <si>
    <t xml:space="preserve">Viết Intended Use Statement và danh sách ngoài phạm vi (không chẩn đoán, không gợi ý điều trị, không phát hiện bệnh trên ảnh)</t>
  </si>
  <si>
    <t xml:space="preserve">Write the Intended Use Statement and out-of-scope list (no diagnosis, no treatment advice, no image-based detection)</t>
  </si>
  <si>
    <t xml:space="preserve">regulatory/intended-use.md</t>
  </si>
  <si>
    <t xml:space="preserve">Không có động từ chẩn đoán; có danh sách từ cấm dùng trong claims</t>
  </si>
  <si>
    <t xml:space="preserve">Regulatory Decision Record nháp: NĐ 98/2021 (sửa đổi 07/2023, 04/2025), TT 05/2022, Luật BVDLCN 91/2025/QH15, TT 13/2025/TT-BYT</t>
  </si>
  <si>
    <t xml:space="preserve">Draft Regulatory Decision Record: Decree 98/2021 (amended 07/2023, 04/2025), Circular 05/2022, PDPL 91/2025/QH15, Circular 13/2025/TT-BYT</t>
  </si>
  <si>
    <t xml:space="preserve">regulatory/RDR-001.md</t>
  </si>
  <si>
    <t xml:space="preserve">Mỗi kết luận có trích dẫn nguồn và ngày rà soát lại</t>
  </si>
  <si>
    <t xml:space="preserve">BA</t>
  </si>
  <si>
    <t xml:space="preserve">Kế hoạch nghiên cứu người dùng: kịch bản phỏng vấn, mẫu đồng ý tham gia; tuyển 5–8 người (bệnh nhân, người nhà)</t>
  </si>
  <si>
    <t xml:space="preserve">User research plan: interview guide, consent form; recruit 5–8 patients/caregivers</t>
  </si>
  <si>
    <t xml:space="preserve">research/interview-guide.md</t>
  </si>
  <si>
    <t xml:space="preserve">Có mẫu consent; ≥ 5 buổi đã hẹn</t>
  </si>
  <si>
    <t xml:space="preserve">Phỏng vấn 3 người; viết ghi chú ẩn danh ngay sau mỗi buổi</t>
  </si>
  <si>
    <t xml:space="preserve">Run 3 interviews; write anonymised notes right after each</t>
  </si>
  <si>
    <t xml:space="preserve">research/notes/</t>
  </si>
  <si>
    <t xml:space="preserve">Ghi chú không chứa tên, SĐT, mã hồ sơ</t>
  </si>
  <si>
    <t xml:space="preserve">UX</t>
  </si>
  <si>
    <t xml:space="preserve">Phỏng vấn 2–3 người còn lại; affinity map các vấn đề</t>
  </si>
  <si>
    <t xml:space="preserve">Run the remaining 2–3 interviews; build an affinity map</t>
  </si>
  <si>
    <t xml:space="preserve">FigJam affinity map</t>
  </si>
  <si>
    <t xml:space="preserve">≥ 5 cuộc phỏng vấn được gom thành chủ đề</t>
  </si>
  <si>
    <t xml:space="preserve">Persona (bệnh nhân, người chăm sóc, bác sĩ nhận chia sẻ) + user journey As-Is</t>
  </si>
  <si>
    <t xml:space="preserve">Personas (patient, caregiver, receiving clinician) + As-Is user journey</t>
  </si>
  <si>
    <t xml:space="preserve">personas, journey-asis</t>
  </si>
  <si>
    <t xml:space="preserve">Mỗi pain point dẫn chiếu bằng chứng phỏng vấn</t>
  </si>
  <si>
    <t xml:space="preserve">CSO</t>
  </si>
  <si>
    <t xml:space="preserve">Tìm bác sĩ cố vấn (1–2 giờ/tháng); Clinical Risk Management Plan nháp + mẫu hazard log</t>
  </si>
  <si>
    <t xml:space="preserve">Recruit a clinical advisor (1–2 h/month); draft Clinical Risk Management Plan + hazard-log template</t>
  </si>
  <si>
    <t xml:space="preserve">safety/CRMP.md, hazard-log.xlsx</t>
  </si>
  <si>
    <t xml:space="preserve">Cố vấn đồng ý (hoặc có phương án dự phòng); hazard log theo ISO 14971</t>
  </si>
  <si>
    <t xml:space="preserve">Sprint Review + Retro; cập nhật risk register; buffer cho việc trễ</t>
  </si>
  <si>
    <t xml:space="preserve">Sprint review + retro; update risk register; buffer for slipped work</t>
  </si>
  <si>
    <t xml:space="preserve">reports/sprint-01.md</t>
  </si>
  <si>
    <t xml:space="preserve">Retro có ≥ 1 hành động; rủi ro chấm điểm L×I</t>
  </si>
  <si>
    <t xml:space="preserve">Planning; problem statement + MoSCoW; khóa MVP 3 Unit: Răng hàm mặt, Tim mạch, Ung bướu</t>
  </si>
  <si>
    <t xml:space="preserve">Planning; problem statement + MoSCoW; lock MVP to 3 Units: Dental, Cardiology, Oncology</t>
  </si>
  <si>
    <t xml:space="preserve">product/mvp-scope.md</t>
  </si>
  <si>
    <t xml:space="preserve">Must ≤ 3 Unit; danh sách Won't ghi rõ</t>
  </si>
  <si>
    <t xml:space="preserve">BRD v1: quy trình To-Be (BPMN), business rules BR-001…BR-045, glossary VI–EN</t>
  </si>
  <si>
    <t xml:space="preserve">BRD v1: To-Be process (BPMN), business rules BR-001…BR-045, VI–EN glossary</t>
  </si>
  <si>
    <t xml:space="preserve">docs/BRD-v1.md</t>
  </si>
  <si>
    <t xml:space="preserve">Mỗi BR có mã, chủ sở hữu, ý tưởng test</t>
  </si>
  <si>
    <t xml:space="preserve">IA/sitemap + wireframe low-fi 8 màn: Consent, Upload, Review, Viewer, Explain, Timeline, Share, Settings</t>
  </si>
  <si>
    <t xml:space="preserve">IA/sitemap + low-fi wireframes for 8 screens: Consent, Upload, Review, Viewer, Explain, Timeline, Share, Settings</t>
  </si>
  <si>
    <t xml:space="preserve">Figma low-fi</t>
  </si>
  <si>
    <t xml:space="preserve">Bao phủ luồng upload → review → viewer → giải thích</t>
  </si>
  <si>
    <t xml:space="preserve">Prototype click-through; test nhanh với 3 người</t>
  </si>
  <si>
    <t xml:space="preserve">Clickable prototype; quick test with 3 people</t>
  </si>
  <si>
    <t xml:space="preserve">Figma prototype, test notes</t>
  </si>
  <si>
    <t xml:space="preserve">≥ 2/3 người hoàn thành nhiệm vụ chính</t>
  </si>
  <si>
    <t xml:space="preserve">AI</t>
  </si>
  <si>
    <t xml:space="preserve">Sinh 50 bệnh án synthetic cho 3 Unit (HTML template → ảnh, biến thể mờ/nghiêng/gập) kèm nhãn đúng → golden set v0</t>
  </si>
  <si>
    <t xml:space="preserve">Generate 50 synthetic records for 3 Units (HTML template → image; blur/skew/fold variants) with ground truth → golden set v0</t>
  </si>
  <si>
    <t xml:space="preserve">datasets/golden-v0</t>
  </si>
  <si>
    <t xml:space="preserve">50 tài liệu, nhãn hợp lệ JSON Schema, có Dataset Card</t>
  </si>
  <si>
    <t xml:space="preserve">DC</t>
  </si>
  <si>
    <t xml:space="preserve">Lập License Register; ghi license các nguồn dự kiến (synthetic, ICD-10 Bộ Y tế, LOINC, BodyParts3D/Z-Anatomy, TCIA)</t>
  </si>
  <si>
    <t xml:space="preserve">Create the License Register for planned sources (synthetic, MoH ICD-10, LOINC, BodyParts3D/Z-Anatomy, TCIA)</t>
  </si>
  <si>
    <t xml:space="preserve">data/license-register.csv</t>
  </si>
  <si>
    <t xml:space="preserve">Mỗi nguồn có license, quyền huấn luyện, quyền thương mại, link</t>
  </si>
  <si>
    <t xml:space="preserve">Bake-off OCR: PaddleOCR vs VietOCR vs LLM vision trên golden v0; đo CER, thời gian, USD/tài liệu</t>
  </si>
  <si>
    <t xml:space="preserve">OCR bake-off: PaddleOCR vs VietOCR vs LLM vision on golden v0; measure CER, latency, USD/doc</t>
  </si>
  <si>
    <t xml:space="preserve">ai/ocr-bakeoff.md</t>
  </si>
  <si>
    <t xml:space="preserve">CER theo nhóm chữ in/chữ tay; khuyến nghị có số liệu</t>
  </si>
  <si>
    <t xml:space="preserve">SA</t>
  </si>
  <si>
    <t xml:space="preserve">ADR-001 modular monolith, ADR-006 OCR hybrid, ADR-012 region + Bedrock (kiểm tra model có ở ap-southeast-1)</t>
  </si>
  <si>
    <t xml:space="preserve">ADR-001 modular monolith, ADR-006 hybrid OCR, ADR-012 region + Bedrock (check model availability in ap-southeast-1)</t>
  </si>
  <si>
    <t xml:space="preserve">docs/adr/</t>
  </si>
  <si>
    <t xml:space="preserve">Mỗi ADR có bối cảnh, phương án, quyết định, hệ quả</t>
  </si>
  <si>
    <t xml:space="preserve">DPIA sơ bộ + kiểm kê dữ liệu; quyết định có cần hồ sơ đánh giá chuyển dữ liệu ra nước ngoài (OTIA) không</t>
  </si>
  <si>
    <t xml:space="preserve">Initial DPIA + data inventory; decide whether an outbound transfer impact assessment (OTIA) is needed</t>
  </si>
  <si>
    <t xml:space="preserve">privacy/DPIA-v0.md</t>
  </si>
  <si>
    <t xml:space="preserve">Mỗi loại dữ liệu có mục đích, cơ sở pháp lý, thời hạn lưu</t>
  </si>
  <si>
    <t xml:space="preserve">QC</t>
  </si>
  <si>
    <t xml:space="preserve">Cổng G0 + G0-R: duyệt Brief, BRD, prototype, Intended Use, RDR; Review + Retro</t>
  </si>
  <si>
    <t xml:space="preserve">Gates G0 + G0-R: approve brief, BRD, prototype, intended use, RDR; review + retro</t>
  </si>
  <si>
    <t xml:space="preserve">gates/G0.md</t>
  </si>
  <si>
    <t xml:space="preserve">Biên bản cổng có người duyệt; không còn blocker</t>
  </si>
  <si>
    <t xml:space="preserve">Planning; sơ đồ C4 (context, container) + khung SAD arc42</t>
  </si>
  <si>
    <t xml:space="preserve">Planning; C4 context/container diagrams + arc42 SAD skeleton</t>
  </si>
  <si>
    <t xml:space="preserve">docs/SAD.md</t>
  </si>
  <si>
    <t xml:space="preserve">Sơ đồ có trust boundary và luồng PHI</t>
  </si>
  <si>
    <t xml:space="preserve">OPS</t>
  </si>
  <si>
    <t xml:space="preserve">Monorepo (apps/web, apps/api, apps/worker, infra); pre-commit: lint, format, quét secrets</t>
  </si>
  <si>
    <t xml:space="preserve">Monorepo (apps/web, apps/api, apps/worker, infra); pre-commit: lint, format, secret scan</t>
  </si>
  <si>
    <t xml:space="preserve">repo</t>
  </si>
  <si>
    <t xml:space="preserve">Hook chạy được; README hướng dẫn chạy local</t>
  </si>
  <si>
    <t xml:space="preserve">GitHub Actions CI: lint, unit test, SAST (Semgrep), SCA, build image, SBOM</t>
  </si>
  <si>
    <t xml:space="preserve">GitHub Actions CI: lint, unit tests, SAST (Semgrep), SCA, image build, SBOM</t>
  </si>
  <si>
    <t xml:space="preserve">.github/workflows/ci.yml</t>
  </si>
  <si>
    <t xml:space="preserve">CI xanh trên main; chặn High/Critical</t>
  </si>
  <si>
    <t xml:space="preserve">AWS Organizations: account management, security, log-archive, nonprod, prod; IAM Identity Center; SCP cơ bản; CloudTrail org trail</t>
  </si>
  <si>
    <t xml:space="preserve">AWS Organizations: management, security, log-archive, nonprod, prod accounts; Identity Center; baseline SCPs; org CloudTrail</t>
  </si>
  <si>
    <t xml:space="preserve">infra/org</t>
  </si>
  <si>
    <t xml:space="preserve">Root có MFA phần cứng; không có IAM user dùng hằng ngày</t>
  </si>
  <si>
    <t xml:space="preserve">Terraform VPC nonprod: subnet public/private/worker (worker không route internet), VPC endpoint S3/SQS/KMS/ECR/Logs/Bedrock</t>
  </si>
  <si>
    <t xml:space="preserve">Terraform nonprod VPC: public/private/worker subnets (worker with no internet route), VPC endpoints S3/SQS/KMS/ECR/Logs/Bedrock</t>
  </si>
  <si>
    <t xml:space="preserve">infra/network</t>
  </si>
  <si>
    <t xml:space="preserve">checkov/tfsec không có High; SEC-AR-03 có test</t>
  </si>
  <si>
    <t xml:space="preserve">BE</t>
  </si>
  <si>
    <t xml:space="preserve">Khung FastAPI: health check, lỗi dạng Problem Details, OpenAPI, cấu hình theo môi trường</t>
  </si>
  <si>
    <t xml:space="preserve">FastAPI skeleton: health check, Problem Details errors, OpenAPI, per-environment config</t>
  </si>
  <si>
    <t xml:space="preserve">apps/api</t>
  </si>
  <si>
    <t xml:space="preserve">/health trả 200; lỗi không lộ stack trace</t>
  </si>
  <si>
    <t xml:space="preserve">Cognito + OIDC Authorization Code/PKCE, kiểm JWT, cookie HttpOnly/Secure/SameSite</t>
  </si>
  <si>
    <t xml:space="preserve">Cognito + OIDC authorization code/PKCE, JWT validation, HttpOnly/Secure/SameSite cookies</t>
  </si>
  <si>
    <t xml:space="preserve">auth module</t>
  </si>
  <si>
    <t xml:space="preserve">E2E đăng nhập qua; không có token trong localStorage</t>
  </si>
  <si>
    <t xml:space="preserve">FE</t>
  </si>
  <si>
    <t xml:space="preserve">Khung Next.js: layout, next-intl VI/EN, luồng đăng nhập/đăng xuất</t>
  </si>
  <si>
    <t xml:space="preserve">Next.js skeleton: layout, next-intl VI/EN, sign-in/sign-out flow</t>
  </si>
  <si>
    <t xml:space="preserve">apps/web</t>
  </si>
  <si>
    <t xml:space="preserve">Đủ key VI/EN; Lighthouse a11y ≥ 90</t>
  </si>
  <si>
    <t xml:space="preserve">SEC</t>
  </si>
  <si>
    <t xml:space="preserve">Threat model STRIDE v1 cho upload, AI, chia sẻ + abuse cases</t>
  </si>
  <si>
    <t xml:space="preserve">STRIDE threat model v1 for upload, AI and sharing + abuse cases</t>
  </si>
  <si>
    <t xml:space="preserve">security/threat-model.md</t>
  </si>
  <si>
    <t xml:space="preserve">Mỗi mối đe dọa có biện pháp và chủ sở hữu</t>
  </si>
  <si>
    <t xml:space="preserve">Review (video demo ≤ 5 phút) + Retro; buffer</t>
  </si>
  <si>
    <t xml:space="preserve">Review (≤ 5-min demo video) + retro; buffer</t>
  </si>
  <si>
    <t xml:space="preserve">reports/sprint-03.md</t>
  </si>
  <si>
    <t xml:space="preserve">Demo đăng nhập trên nonprod</t>
  </si>
  <si>
    <t xml:space="preserve">Planning; ERD theo domain model (User, PatientProfile, MedicalDocument, Finding, Unit/Region, Consent, AuditEvent)</t>
  </si>
  <si>
    <t xml:space="preserve">Planning; ERD from the domain model (User, PatientProfile, MedicalDocument, Finding, Unit/Region, Consent, AuditEvent)</t>
  </si>
  <si>
    <t xml:space="preserve">docs/erd</t>
  </si>
  <si>
    <t xml:space="preserve">Tên thực thể gần FHIR; review bằng checklist bảo mật</t>
  </si>
  <si>
    <t xml:space="preserve">PostgreSQL 16 + Alembic; schema identity và clinical tách riêng, role DB riêng</t>
  </si>
  <si>
    <t xml:space="preserve">PostgreSQL 16 + Alembic; separate identity and clinical schemas and DB roles</t>
  </si>
  <si>
    <t xml:space="preserve">migrations/</t>
  </si>
  <si>
    <t xml:space="preserve">Migration up/down chạy trong CI</t>
  </si>
  <si>
    <t xml:space="preserve">RLS theo profile_id + test SQL chạy bằng role ứng dụng</t>
  </si>
  <si>
    <t xml:space="preserve">RLS by profile_id + SQL tests run as the app role</t>
  </si>
  <si>
    <t xml:space="preserve">db/policies</t>
  </si>
  <si>
    <t xml:space="preserve">Đọc chéo profile trả 0 dòng</t>
  </si>
  <si>
    <t xml:space="preserve">PHI module (mức A) + Identity Link với subject_key; clinical schema không có tên/email/SĐT</t>
  </si>
  <si>
    <t xml:space="preserve">PHI module (level A) + Identity Link with subject_key; no name/email/phone in the clinical schema</t>
  </si>
  <si>
    <t xml:space="preserve">phi module</t>
  </si>
  <si>
    <t xml:space="preserve">SEC-AR-02 có test tự động</t>
  </si>
  <si>
    <t xml:space="preserve">Upload: presigned URL ≤ 5 phút, kiểm magic bytes, giới hạn kích thước (BR-010), ghi vào bucket quarantine</t>
  </si>
  <si>
    <t xml:space="preserve">Upload: ≤ 5-min presigned URLs, magic-byte check, size limits (BR-010), write to quarantine bucket</t>
  </si>
  <si>
    <t xml:space="preserve">upload API</t>
  </si>
  <si>
    <t xml:space="preserve">File sai định dạng và EICAR bị từ chối</t>
  </si>
  <si>
    <t xml:space="preserve">S3 (quarantine, phi, assets) + KMS CMK + Block Public Access + GuardDuty Malware Protection cho S3</t>
  </si>
  <si>
    <t xml:space="preserve">S3 buckets (quarantine, phi, assets) + KMS CMKs + Block Public Access + GuardDuty Malware Protection for S3</t>
  </si>
  <si>
    <t xml:space="preserve">infra/storage</t>
  </si>
  <si>
    <t xml:space="preserve">Access Analyzer không có truy cập public</t>
  </si>
  <si>
    <t xml:space="preserve">Design system: token màu, bảng màu mức độ BR-020, typography, spacing, component cơ bản</t>
  </si>
  <si>
    <t xml:space="preserve">Design system: colour tokens, BR-020 severity palette, typography, spacing, base components</t>
  </si>
  <si>
    <t xml:space="preserve">Figma library</t>
  </si>
  <si>
    <t xml:space="preserve">Tương phản đạt WCAG 2.2 AA</t>
  </si>
  <si>
    <t xml:space="preserve">Hiện thực token + component (button, card, upload dropzone) + Storybook</t>
  </si>
  <si>
    <t xml:space="preserve">Implement tokens + components (button, card, upload dropzone) + Storybook</t>
  </si>
  <si>
    <t xml:space="preserve">packages/ui</t>
  </si>
  <si>
    <t xml:space="preserve">axe không có lỗi trên các story</t>
  </si>
  <si>
    <t xml:space="preserve">DE</t>
  </si>
  <si>
    <t xml:space="preserve">Data dictionary + phân loại dữ liệu từng cột + quy ước giả danh (pseudonymize.py)</t>
  </si>
  <si>
    <t xml:space="preserve">Data dictionary + per-column classification + pseudonymisation convention (pseudonymize.py)</t>
  </si>
  <si>
    <t xml:space="preserve">data/dictionary.md</t>
  </si>
  <si>
    <t xml:space="preserve">Mọi cột có lớp dữ liệu và thời hạn lưu</t>
  </si>
  <si>
    <t xml:space="preserve">QA</t>
  </si>
  <si>
    <t xml:space="preserve">Test strategy + test pyramid + môi trường test; Review + Retro</t>
  </si>
  <si>
    <t xml:space="preserve">Test strategy, test pyramid and environments; review + retro</t>
  </si>
  <si>
    <t xml:space="preserve">qa/test-strategy.md</t>
  </si>
  <si>
    <t xml:space="preserve">Mục tiêu coverage và cổng CI ghi rõ</t>
  </si>
  <si>
    <t xml:space="preserve">Planning; JSON Schema trích xuất v1 cho 3 Unit; mở rộng golden set lên 150 mẫu</t>
  </si>
  <si>
    <t xml:space="preserve">Planning; extraction JSON Schema v1 for 3 Units; grow golden set to 150 docs</t>
  </si>
  <si>
    <t xml:space="preserve">schemas/*.json, golden-v1</t>
  </si>
  <si>
    <t xml:space="preserve">Nhãn golden hợp lệ theo schema</t>
  </si>
  <si>
    <t xml:space="preserve">Worker: SQS consumer, state machine (uploaded → ocr → extracted → needs_review), DLQ, idempotency</t>
  </si>
  <si>
    <t xml:space="preserve">apps/worker</t>
  </si>
  <si>
    <t xml:space="preserve">Kill worker giữa chừng không mất tài liệu (NFR-06)</t>
  </si>
  <si>
    <t xml:space="preserve">Tiền xử lý OpenCV (blur_check, deskew, crop) + OCR PaddleOCR</t>
  </si>
  <si>
    <t xml:space="preserve">OpenCV preprocessing (blur_check, deskew, crop) + PaddleOCR</t>
  </si>
  <si>
    <t xml:space="preserve">ocr module</t>
  </si>
  <si>
    <t xml:space="preserve">Ảnh mờ bị từ chối theo BR-011</t>
  </si>
  <si>
    <t xml:space="preserve">MLO</t>
  </si>
  <si>
    <t xml:space="preserve">AI Gateway v0 (thư viện): che PII, allowlist model, timeout, log đã che, đo token</t>
  </si>
  <si>
    <t xml:space="preserve">AI Gateway v0 (library): PII redaction, model allowlist, timeouts, redacted logs, token metering</t>
  </si>
  <si>
    <t xml:space="preserve">libs/ai_gateway</t>
  </si>
  <si>
    <t xml:space="preserve">pii_redact recall ≥ 99% trên bộ test</t>
  </si>
  <si>
    <t xml:space="preserve">Trích xuất LLM qua AI Gateway (prompt v1) + kiểm JSON Schema + trích dẫn đoạn gốc</t>
  </si>
  <si>
    <t xml:space="preserve">LLM extraction through AI Gateway (prompt v1) + schema validation + source citations</t>
  </si>
  <si>
    <t xml:space="preserve">prompts/extract-v1</t>
  </si>
  <si>
    <t xml:space="preserve">≥ 98% output hợp lệ schema</t>
  </si>
  <si>
    <t xml:space="preserve">Harness đánh giá (eval_extraction.py) chạy trong CI; báo cáo F1 theo Unit</t>
  </si>
  <si>
    <t xml:space="preserve">Evaluation harness (eval_extraction.py) in CI; F1 per Unit</t>
  </si>
  <si>
    <t xml:space="preserve">CI eval job</t>
  </si>
  <si>
    <t xml:space="preserve">PR làm giảm F1 &gt; 2 điểm bị chặn</t>
  </si>
  <si>
    <t xml:space="preserve">Staging: ECS Fargate (api, worker), RDS, SQS, ALB bằng Terraform; CD bằng GitHub OIDC</t>
  </si>
  <si>
    <t xml:space="preserve">Staging: ECS Fargate (api, worker), RDS, SQS, ALB via Terraform; CD via GitHub OIDC</t>
  </si>
  <si>
    <t xml:space="preserve">infra/staging</t>
  </si>
  <si>
    <t xml:space="preserve">Deploy 1 lệnh từ main; không có access key dài hạn</t>
  </si>
  <si>
    <t xml:space="preserve">CIN</t>
  </si>
  <si>
    <t xml:space="preserve">Nạp danh mục mã: ICD-10 (bản Bộ Y tế), tập con LOINC, FDI; ghi license vào register</t>
  </si>
  <si>
    <t xml:space="preserve">Load code systems: MoH ICD-10, LOINC subset, FDI; record licences in the register</t>
  </si>
  <si>
    <t xml:space="preserve">terminology tables</t>
  </si>
  <si>
    <t xml:space="preserve">Loader có test; license đã ghi</t>
  </si>
  <si>
    <t xml:space="preserve">G1-D lần 1 cho dữ liệu đánh giá &amp; synthetic: Dataset Card, checksum, kiểm trùng hash giữa các tập</t>
  </si>
  <si>
    <t xml:space="preserve">G1-D round 1 for evaluation &amp; synthetic data: Dataset Card, checksum, hash-based leakage check</t>
  </si>
  <si>
    <t xml:space="preserve">datasets/cards</t>
  </si>
  <si>
    <t xml:space="preserve">Checklist 25.6 đạt cho dữ liệu đánh giá</t>
  </si>
  <si>
    <t xml:space="preserve">G1-D</t>
  </si>
  <si>
    <t xml:space="preserve">Cổng G1: ADR chốt, CI xanh, 1 tài liệu chạy trọn pipeline trên staging; Review + Retro</t>
  </si>
  <si>
    <t xml:space="preserve">Gate G1: ADRs final, CI green, one document end-to-end on staging; review + retro</t>
  </si>
  <si>
    <t xml:space="preserve">gates/G1.md</t>
  </si>
  <si>
    <t xml:space="preserve">Có bằng chứng E2E trên staging</t>
  </si>
  <si>
    <t xml:space="preserve">G1</t>
  </si>
  <si>
    <t xml:space="preserve">Planning; user story + Gherkin cho upload, tiến trình, lỗi chụp lại</t>
  </si>
  <si>
    <t xml:space="preserve">Planning; user stories + Gherkin for upload, progress and retake errors</t>
  </si>
  <si>
    <t xml:space="preserve">backlog</t>
  </si>
  <si>
    <t xml:space="preserve">Story ≤ 3 ngày, đạt INVEST</t>
  </si>
  <si>
    <t xml:space="preserve">Màn Upload: chụp/chọn ảnh, nhiều trang, hướng dẫn chụp, kiểm kích thước phía client</t>
  </si>
  <si>
    <t xml:space="preserve">Upload screen: capture/select, multi-page, capture tips, client-side size check</t>
  </si>
  <si>
    <t xml:space="preserve">upload page</t>
  </si>
  <si>
    <t xml:space="preserve">Chạy trên mobile và desktop; có nhãn a11y</t>
  </si>
  <si>
    <t xml:space="preserve">API trạng thái + SSE realtime; outbox pattern cho domain event</t>
  </si>
  <si>
    <t xml:space="preserve">Status API + SSE realtime; outbox pattern for domain events</t>
  </si>
  <si>
    <t xml:space="preserve">status endpoints</t>
  </si>
  <si>
    <t xml:space="preserve">Cập nhật trạng thái &lt; 2 giây</t>
  </si>
  <si>
    <t xml:space="preserve">Phân loại trang: rule + LLM Tier S zero-shot (9 loại phiếu)</t>
  </si>
  <si>
    <t xml:space="preserve">Page classification: rules + Tier-S LLM zero-shot (9 page types)</t>
  </si>
  <si>
    <t xml:space="preserve">classifier step</t>
  </si>
  <si>
    <t xml:space="preserve">Accuracy ≥ 0,90 trên golden set</t>
  </si>
  <si>
    <t xml:space="preserve">Cải thiện OCR: phát hiện viền tài liệu, perspective transform, VietOCR cho dòng chữ in</t>
  </si>
  <si>
    <t xml:space="preserve">OCR improvements: document edge detection, perspective transform, VietOCR for printed lines</t>
  </si>
  <si>
    <t xml:space="preserve">ocr v2</t>
  </si>
  <si>
    <t xml:space="preserve">CER giảm so với baseline S02</t>
  </si>
  <si>
    <t xml:space="preserve">Màn tiến trình + thông báo lỗi thân thiện (ảnh mờ → hướng dẫn chụp lại)</t>
  </si>
  <si>
    <t xml:space="preserve">Progress screen + friendly errors (blurry → retake guidance)</t>
  </si>
  <si>
    <t xml:space="preserve">UI states</t>
  </si>
  <si>
    <t xml:space="preserve">Mỗi lỗi có hành động tiếp theo</t>
  </si>
  <si>
    <t xml:space="preserve">Test API + contract test upload; bộ file độc (EICAR, PDF chứa JS, polyglot)</t>
  </si>
  <si>
    <t xml:space="preserve">API + contract tests for upload; malicious file set (EICAR, JS-PDF, polyglot)</t>
  </si>
  <si>
    <t xml:space="preserve">tests/upload</t>
  </si>
  <si>
    <t xml:space="preserve">File độc bị chặn trong CI</t>
  </si>
  <si>
    <t xml:space="preserve">Rà soát upload theo SEC-AP-07; chạy scan_log_for_pii.py trên log staging</t>
  </si>
  <si>
    <t xml:space="preserve">Review upload against SEC-AP-07; run scan_log_for_pii.py on staging logs</t>
  </si>
  <si>
    <t xml:space="preserve">security review note</t>
  </si>
  <si>
    <t xml:space="preserve">0 PII trong log</t>
  </si>
  <si>
    <t xml:space="preserve">TW</t>
  </si>
  <si>
    <t xml:space="preserve">Hướng dẫn chụp bệnh án VI/EN + glossary thuật ngữ ban đầu</t>
  </si>
  <si>
    <t xml:space="preserve">VI/EN capture guide + initial terminology glossary</t>
  </si>
  <si>
    <t xml:space="preserve">docs/user/capture-guide</t>
  </si>
  <si>
    <t xml:space="preserve">Ngôn ngữ đơn giản, đã đọc soát</t>
  </si>
  <si>
    <t xml:space="preserve">Review: demo upload → OCR realtime; Retro; buffer</t>
  </si>
  <si>
    <t xml:space="preserve">Review: demo upload → realtime OCR; retro; buffer</t>
  </si>
  <si>
    <t xml:space="preserve">reports/sprint-06.md</t>
  </si>
  <si>
    <t xml:space="preserve">Demo được ghi hình</t>
  </si>
  <si>
    <t xml:space="preserve">Planning; prompt v2 few-shot theo Unit; mỗi trường có trích dẫn + bbox + độ tin cậy</t>
  </si>
  <si>
    <t xml:space="preserve">Planning; prompt v2 few-shot per Unit; every field has citation + bbox + confidence</t>
  </si>
  <si>
    <t xml:space="preserve">prompts/extract-v2</t>
  </si>
  <si>
    <t xml:space="preserve">Mọi trường có nguồn trích dẫn</t>
  </si>
  <si>
    <t xml:space="preserve">Chuẩn hóa: viết tắt → đầy đủ; map ICD-10/LOINC bằng từ điển + embedding + rerank</t>
  </si>
  <si>
    <t xml:space="preserve">Normalisation: abbreviations → full terms; ICD-10/LOINC mapping via dictionary + embeddings + rerank</t>
  </si>
  <si>
    <t xml:space="preserve">normaliser</t>
  </si>
  <si>
    <t xml:space="preserve">Đo top-1 accuracy mã; báo cáo lỗi thường gặp</t>
  </si>
  <si>
    <t xml:space="preserve">API findings: xem/sửa/xác nhận; ghi AuditEvent; kiểm sở hữu (chống IDOR)</t>
  </si>
  <si>
    <t xml:space="preserve">Findings API: view/edit/confirm; AuditEvent; ownership checks (anti-IDOR)</t>
  </si>
  <si>
    <t xml:space="preserve">findings API</t>
  </si>
  <si>
    <t xml:space="preserve">Test truy cập chéo bị từ chối</t>
  </si>
  <si>
    <t xml:space="preserve">Màn Review: ảnh gốc + highlight bbox + form sửa; trường &lt; 0,7 tô vàng, bắt buộc xác nhận (BR-012)</t>
  </si>
  <si>
    <t xml:space="preserve">Review screen: source image + bbox highlight + edit form; fields &lt; 0.7 highlighted and must be confirmed (BR-012)</t>
  </si>
  <si>
    <t xml:space="preserve">review page</t>
  </si>
  <si>
    <t xml:space="preserve">Đạt AC Gherkin; dùng được bằng bàn phím</t>
  </si>
  <si>
    <t xml:space="preserve">Cascade v1: rule/cache → Tier S → Tier M; prompt caching; đo token và USD/tài liệu</t>
  </si>
  <si>
    <t xml:space="preserve">Cascade v1: rule/cache → Tier S → Tier M; prompt caching; token and USD/doc metering</t>
  </si>
  <si>
    <t xml:space="preserve">router config</t>
  </si>
  <si>
    <t xml:space="preserve">Chi phí/tài liệu ghi theo tầng</t>
  </si>
  <si>
    <t xml:space="preserve">Mapping giải phẫu: fdi_parser, từ điển vị trí, rule bên trái/phải</t>
  </si>
  <si>
    <t xml:space="preserve">Anatomy mapping: fdi_parser, location dictionary, laterality rules</t>
  </si>
  <si>
    <t xml:space="preserve">mapper</t>
  </si>
  <si>
    <t xml:space="preserve">Region accuracy ≥ 0,85 trên golden</t>
  </si>
  <si>
    <t xml:space="preserve">E2E Playwright: upload → review → xác nhận; test phân quyền sở hữu</t>
  </si>
  <si>
    <t xml:space="preserve">Playwright E2E: upload → review → confirm; ownership authorisation tests</t>
  </si>
  <si>
    <t xml:space="preserve">tests/e2e</t>
  </si>
  <si>
    <t xml:space="preserve">Xanh trong CI</t>
  </si>
  <si>
    <t xml:space="preserve">Hazard log v1: sai bên, sai vùng, hiểu nhầm là chẩn đoán, bỏ sót trường quan trọng</t>
  </si>
  <si>
    <t xml:space="preserve">Hazard log v1: wrong side, wrong region, mistaken for diagnosis, missed critical field</t>
  </si>
  <si>
    <t xml:space="preserve">safety/hazard-log</t>
  </si>
  <si>
    <t xml:space="preserve">Mỗi mối nguy có biện pháp kiểm soát và rủi ro tồn dư</t>
  </si>
  <si>
    <t xml:space="preserve">Mart chỉ số pipeline (tỉ lệ sửa, CER, F1, USD/tài liệu) + job hằng ngày</t>
  </si>
  <si>
    <t xml:space="preserve">Pipeline metrics mart (correction rate, CER, F1, USD/doc) + daily job</t>
  </si>
  <si>
    <t xml:space="preserve">dbt/SQL marts</t>
  </si>
  <si>
    <t xml:space="preserve">Job chạy hằng ngày, có dq_check</t>
  </si>
  <si>
    <t xml:space="preserve">Review: demo sửa và xác nhận; Retro; buffer</t>
  </si>
  <si>
    <t xml:space="preserve">Review: demo edit and confirm; retro; buffer</t>
  </si>
  <si>
    <t xml:space="preserve">reports/sprint-07.md</t>
  </si>
  <si>
    <t xml:space="preserve">Planning; spec viewer 2D + odontogram; trạng thái empty/partial/full</t>
  </si>
  <si>
    <t xml:space="preserve">Planning; 2D viewer + odontogram spec; empty/partial/full states</t>
  </si>
  <si>
    <t xml:space="preserve">Figma spec</t>
  </si>
  <si>
    <t xml:space="preserve">Có spec cho mọi trạng thái</t>
  </si>
  <si>
    <t xml:space="preserve">ART</t>
  </si>
  <si>
    <t xml:space="preserve">SVG cơ thể 2D (trước/sau), id theo region_code; ghi attribution</t>
  </si>
  <si>
    <t xml:space="preserve">2D body SVG (front/back) with region_code ids; record attribution</t>
  </si>
  <si>
    <t xml:space="preserve">assets/body.svg</t>
  </si>
  <si>
    <t xml:space="preserve">Mọi vùng có id region_code hợp lệ</t>
  </si>
  <si>
    <t xml:space="preserve">Viewer 2D: tô màu theo mức độ, tooltip, danh sách vùng thay thế cho trình đọc màn hình</t>
  </si>
  <si>
    <t xml:space="preserve">2D viewer: severity colouring, tooltips, alternative region list for screen readers</t>
  </si>
  <si>
    <t xml:space="preserve">viewer-2d</t>
  </si>
  <si>
    <t xml:space="preserve">Điều hướng được bằng bàn phím</t>
  </si>
  <si>
    <t xml:space="preserve">Odontogram FDI 32 răng + trạng thái sâu/trám/mất/implant, mặt răng M/D/O/B/L</t>
  </si>
  <si>
    <t xml:space="preserve">FDI 32-tooth odontogram + caries/filled/missing/implant states, surfaces M/D/O/B/L</t>
  </si>
  <si>
    <t xml:space="preserve">odontogram</t>
  </si>
  <si>
    <t xml:space="preserve">Khớp bộ test FDI</t>
  </si>
  <si>
    <t xml:space="preserve">Unit config Răng hàm mặt (extraction_schema, regions, visual_rules) theo playbook PB-02</t>
  </si>
  <si>
    <t xml:space="preserve">Dental Unit config (extraction_schema, regions, visual_rules) via playbook PB-02</t>
  </si>
  <si>
    <t xml:space="preserve">units/dental.yaml</t>
  </si>
  <si>
    <t xml:space="preserve">Thêm Unit không sửa code lõi</t>
  </si>
  <si>
    <t xml:space="preserve">Prompt + rule cho phiếu nha khoa; golden subset Răng 200 mẫu</t>
  </si>
  <si>
    <t xml:space="preserve">Prompt + rules for dental forms; dental golden subset of 200 docs</t>
  </si>
  <si>
    <t xml:space="preserve">prompts/dental</t>
  </si>
  <si>
    <t xml:space="preserve">F1 ≥ 0,80 trên subset Răng</t>
  </si>
  <si>
    <t xml:space="preserve">Thuật ngữ nha khoa VI↔EN + mã ICD-10 nhóm K00–K14</t>
  </si>
  <si>
    <t xml:space="preserve">Dental terminology VI↔EN + ICD-10 codes K00–K14</t>
  </si>
  <si>
    <t xml:space="preserve">terminology/dental</t>
  </si>
  <si>
    <t xml:space="preserve">CSO đã xem</t>
  </si>
  <si>
    <t xml:space="preserve">Visual regression viewer 2D + test fdi_parser</t>
  </si>
  <si>
    <t xml:space="preserve">2D viewer visual regression + fdi_parser tests</t>
  </si>
  <si>
    <t xml:space="preserve">tests/visual</t>
  </si>
  <si>
    <t xml:space="preserve">Snapshot ổn định</t>
  </si>
  <si>
    <t xml:space="preserve">Duyệt cách hiển thị răng và bảng màu mức độ</t>
  </si>
  <si>
    <t xml:space="preserve">Review tooth display and severity palette</t>
  </si>
  <si>
    <t xml:space="preserve">clinical review record</t>
  </si>
  <si>
    <t xml:space="preserve">Ký duyệt hoặc có danh sách sửa</t>
  </si>
  <si>
    <t xml:space="preserve">Review: demo odontogram tô màu theo bệnh án; Retro; buffer</t>
  </si>
  <si>
    <t xml:space="preserve">Review: demo odontogram coloured from a record; retro; buffer</t>
  </si>
  <si>
    <t xml:space="preserve">reports/sprint-08.md</t>
  </si>
  <si>
    <t xml:space="preserve">Planning; spike React Three Fiber: tải GLB, OrbitControls</t>
  </si>
  <si>
    <t xml:space="preserve">Planning; React Three Fiber spike: load GLB, OrbitControls</t>
  </si>
  <si>
    <t xml:space="preserve">spike branch</t>
  </si>
  <si>
    <t xml:space="preserve">60 fps trên laptop dev</t>
  </si>
  <si>
    <t xml:space="preserve">GLB cơ thể + tim (4 buồng, van, mạch vành) license mở; mesh theo region_code; LOD + Draco</t>
  </si>
  <si>
    <t xml:space="preserve">Open-licence body + heart GLB (4 chambers, valves, coronaries); meshes named by region_code; LOD + Draco</t>
  </si>
  <si>
    <t xml:space="preserve">assets/body.glb, heart.glb</t>
  </si>
  <si>
    <t xml:space="preserve">check_glb_regions.py qua; ATTRIBUTION.md cập nhật</t>
  </si>
  <si>
    <t xml:space="preserve">Raycast chọn vùng, highlight, camera focus, panel chi tiết</t>
  </si>
  <si>
    <t xml:space="preserve">Raycast picking, highlight, camera focus, detail panel</t>
  </si>
  <si>
    <t xml:space="preserve">viewer-3d</t>
  </si>
  <si>
    <t xml:space="preserve">Bấm vùng → hiện chi tiết</t>
  </si>
  <si>
    <t xml:space="preserve">Ngân sách hiệu năng (Draco, LOD, lazy load) + tự chuyển 2D khi máy yếu</t>
  </si>
  <si>
    <t xml:space="preserve">Performance budget (Draco, LOD, lazy load) + automatic 2D fallback on weak devices</t>
  </si>
  <si>
    <t xml:space="preserve">perf config</t>
  </si>
  <si>
    <t xml:space="preserve">FPS ≥ 30 trên máy test yếu</t>
  </si>
  <si>
    <t xml:space="preserve">Unit config Tim mạch + chỉ số EF%, huyết áp (LOINC)</t>
  </si>
  <si>
    <t xml:space="preserve">Cardiology Unit config + EF%, blood pressure (LOINC)</t>
  </si>
  <si>
    <t xml:space="preserve">units/cardio.yaml</t>
  </si>
  <si>
    <t xml:space="preserve">Chỉ số map đúng LOINC</t>
  </si>
  <si>
    <t xml:space="preserve">Trích xuất phiếu tim mạch (siêu âm tim, ECG dạng chữ); golden 200 mẫu</t>
  </si>
  <si>
    <t xml:space="preserve">Cardiology extraction (echo, text ECG reports); 200-doc golden subset</t>
  </si>
  <si>
    <t xml:space="preserve">prompts/cardio</t>
  </si>
  <si>
    <t xml:space="preserve">F1 ≥ 0,80 trên subset Tim mạch</t>
  </si>
  <si>
    <t xml:space="preserve">Usability test 5 người cho viewer 3D/2D (task success, SUS)</t>
  </si>
  <si>
    <t xml:space="preserve">Usability test with 5 people for the 3D/2D viewer (task success, SUS)</t>
  </si>
  <si>
    <t xml:space="preserve">ux/usability-r1.md</t>
  </si>
  <si>
    <t xml:space="preserve">SUS và task success được ghi</t>
  </si>
  <si>
    <t xml:space="preserve">Test cross-browser + mobile theo NFR-17</t>
  </si>
  <si>
    <t xml:space="preserve">Cross-browser + mobile tests per NFR-17</t>
  </si>
  <si>
    <t xml:space="preserve">compat matrix</t>
  </si>
  <si>
    <t xml:space="preserve">NFR-17 đạt</t>
  </si>
  <si>
    <t xml:space="preserve">Rà soát CSP/security headers, CORS, asset CDN</t>
  </si>
  <si>
    <t xml:space="preserve">Review CSP/security headers, CORS, CDN assets</t>
  </si>
  <si>
    <t xml:space="preserve">header report</t>
  </si>
  <si>
    <t xml:space="preserve">Header scan đạt; CORS chỉ origin app</t>
  </si>
  <si>
    <t xml:space="preserve">Review: demo xoay/zoom, bấm vùng; Retro; buffer</t>
  </si>
  <si>
    <t xml:space="preserve">Review: demo rotate/zoom and region click; retro; buffer</t>
  </si>
  <si>
    <t xml:space="preserve">reports/sprint-09.md</t>
  </si>
  <si>
    <t xml:space="preserve">Planning; BR nội dung ung bướu: không tiên lượng, ngôn ngữ trấn an, chế độ tóm tắt</t>
  </si>
  <si>
    <t xml:space="preserve">Planning; oncology content rules: no prognosis, reassuring language, summary mode</t>
  </si>
  <si>
    <t xml:space="preserve">BR update</t>
  </si>
  <si>
    <t xml:space="preserve">CSO đồng ý</t>
  </si>
  <si>
    <t xml:space="preserve">Trích xuất TNM, vị trí u, hạch, di căn; golden 200 mẫu</t>
  </si>
  <si>
    <t xml:space="preserve">Extract TNM, tumour site, nodes, metastases; 200-doc golden subset</t>
  </si>
  <si>
    <t xml:space="preserve">prompts/onco</t>
  </si>
  <si>
    <t xml:space="preserve">F1 ≥ 0,80 trên subset Ung bướu</t>
  </si>
  <si>
    <t xml:space="preserve">Hiển thị u/hạch/di căn trên 3D + chế độ tóm tắt mặc định</t>
  </si>
  <si>
    <t xml:space="preserve">Show tumour/nodes/metastases in 3D + summary mode by default</t>
  </si>
  <si>
    <t xml:space="preserve">onco viewer</t>
  </si>
  <si>
    <t xml:space="preserve">Tóm tắt là mặc định; chi tiết khi bấm</t>
  </si>
  <si>
    <t xml:space="preserve">Viết 20 KnowledgeArticle có nguồn và ngày rà soát (VI/EN)</t>
  </si>
  <si>
    <t xml:space="preserve">Write 20 sourced KnowledgeArticles with review dates (VI/EN)</t>
  </si>
  <si>
    <t xml:space="preserve">content/articles</t>
  </si>
  <si>
    <t xml:space="preserve">Mỗi bài có nguồn, người duyệt</t>
  </si>
  <si>
    <t xml:space="preserve">RAG: pgvector, chunking, retrieval lọc theo profile_id trong code</t>
  </si>
  <si>
    <t xml:space="preserve">RAG: pgvector, chunking, retrieval filtered by profile_id in code</t>
  </si>
  <si>
    <t xml:space="preserve">rag module</t>
  </si>
  <si>
    <t xml:space="preserve">Test truy vấn chéo người dùng trả 0 kết quả</t>
  </si>
  <si>
    <t xml:space="preserve">Guardrail: chặn liều thuốc/tiên lượng/chẩn đoán; dấu hiệu khẩn cấp → 115 (BR-023, BR-041)</t>
  </si>
  <si>
    <t xml:space="preserve">Guardrails: block dosing/prognosis/diagnosis; emergency signs → 115 (BR-023, BR-041)</t>
  </si>
  <si>
    <t xml:space="preserve">guardrails</t>
  </si>
  <si>
    <t xml:space="preserve">Red-team pass ≥ 95%</t>
  </si>
  <si>
    <t xml:space="preserve">Semantic cache cho câu hỏi giải thích + quota token theo người dùng (SEC-AI-07)</t>
  </si>
  <si>
    <t xml:space="preserve">Semantic cache for explanation questions + per-user token quota (SEC-AI-07)</t>
  </si>
  <si>
    <t xml:space="preserve">gateway config</t>
  </si>
  <si>
    <t xml:space="preserve">Đo cache hit; quota chặn được</t>
  </si>
  <si>
    <t xml:space="preserve">Red-team: 100 câu hỏi nguy hiểm + 50 ảnh chứa prompt injection</t>
  </si>
  <si>
    <t xml:space="preserve">Red team: 100 unsafe questions + 50 images with prompt injection</t>
  </si>
  <si>
    <t xml:space="preserve">tests/redteam</t>
  </si>
  <si>
    <t xml:space="preserve">Kết quả lưu; lỗi thành bug</t>
  </si>
  <si>
    <t xml:space="preserve">Duyệt 20 bài viết + copy trấn an + disclaimer mọi màn AI</t>
  </si>
  <si>
    <t xml:space="preserve">Approve 20 articles + reassuring copy + disclaimers on every AI screen</t>
  </si>
  <si>
    <t xml:space="preserve">Ký duyệt nội dung</t>
  </si>
  <si>
    <t xml:space="preserve">Review: demo hỏi đáp có trích dẫn; Retro; buffer</t>
  </si>
  <si>
    <t xml:space="preserve">Review: demo cited Q&amp;A; retro; buffer</t>
  </si>
  <si>
    <t xml:space="preserve">reports/sprint-10.md</t>
  </si>
  <si>
    <t xml:space="preserve">Planning; Timeline so sánh 2 lần khám (pre/post)</t>
  </si>
  <si>
    <t xml:space="preserve">Planning; timeline comparing two visits (pre/post)</t>
  </si>
  <si>
    <t xml:space="preserve">timeline</t>
  </si>
  <si>
    <t xml:space="preserve">Hai mốc hiển thị song song</t>
  </si>
  <si>
    <t xml:space="preserve">Nhập mô tả bằng text (patient_reported) + NER → vùng; không gán ICD, nhãn 'bạn mô tả' (BR-040)</t>
  </si>
  <si>
    <t xml:space="preserve">Text description input (patient_reported) + NER → region; no ICD code, 'you described' label (BR-040)</t>
  </si>
  <si>
    <t xml:space="preserve">patient-text API</t>
  </si>
  <si>
    <t xml:space="preserve">Test BR-040 qua</t>
  </si>
  <si>
    <t xml:space="preserve">Chia sẻ có hạn (scope, expiry) bằng Cedar policy + test (SEC-AR-07)</t>
  </si>
  <si>
    <t xml:space="preserve">Time-limited sharing (scope, expiry) with Cedar policies + tests (SEC-AR-07)</t>
  </si>
  <si>
    <t xml:space="preserve">policies/*.cedar</t>
  </si>
  <si>
    <t xml:space="preserve">Chia sẻ hết hạn bị từ chối</t>
  </si>
  <si>
    <t xml:space="preserve">Màn chia sẻ + trang xem của bác sĩ có watermark</t>
  </si>
  <si>
    <t xml:space="preserve">Share screen + clinician view with watermark</t>
  </si>
  <si>
    <t xml:space="preserve">share UI</t>
  </si>
  <si>
    <t xml:space="preserve">Watermark hiển thị</t>
  </si>
  <si>
    <t xml:space="preserve">Admin không xem PHI; break-glass có lý do, 1 giờ, cảnh báo (SEC-AZ-05)</t>
  </si>
  <si>
    <t xml:space="preserve">Admin without PHI access; break-glass with reason, 1 h, alert (SEC-AZ-05)</t>
  </si>
  <si>
    <t xml:space="preserve">admin API</t>
  </si>
  <si>
    <t xml:space="preserve">Cảnh báo bắn trong test</t>
  </si>
  <si>
    <t xml:space="preserve">Quyền dữ liệu: xuất dữ liệu, rút consent, xóa tài khoản</t>
  </si>
  <si>
    <t xml:space="preserve">Data rights: export, consent withdrawal, account deletion</t>
  </si>
  <si>
    <t xml:space="preserve">DSR flows</t>
  </si>
  <si>
    <t xml:space="preserve">Xuất đủ; xóa được kiểm chứng</t>
  </si>
  <si>
    <t xml:space="preserve">Regression toàn bộ + ma trận phân quyền</t>
  </si>
  <si>
    <t xml:space="preserve">Full regression + authorisation matrix</t>
  </si>
  <si>
    <t xml:space="preserve">qa/regression-S11</t>
  </si>
  <si>
    <t xml:space="preserve">0 bug S1/S2 mở</t>
  </si>
  <si>
    <t xml:space="preserve">Báo cáo đánh giá: F1 theo Unit/nhóm trên golden 600 mẫu, ECE, region accuracy</t>
  </si>
  <si>
    <t xml:space="preserve">Evaluation report: F1 per Unit/stratum on 600-doc golden set, ECE, region accuracy</t>
  </si>
  <si>
    <t xml:space="preserve">ai/eval-report-v1.md</t>
  </si>
  <si>
    <t xml:space="preserve">Đạt ngưỡng G2</t>
  </si>
  <si>
    <t xml:space="preserve">Hướng dẫn sử dụng nháp + release notes nội bộ</t>
  </si>
  <si>
    <t xml:space="preserve">Draft user guide + internal release notes</t>
  </si>
  <si>
    <t xml:space="preserve">docs/user-guide-draft</t>
  </si>
  <si>
    <t xml:space="preserve">Đủ các luồng Must</t>
  </si>
  <si>
    <t xml:space="preserve">Cổng G2 feature complete; Review + Retro</t>
  </si>
  <si>
    <t xml:space="preserve">Gate G2 feature complete; review + retro</t>
  </si>
  <si>
    <t xml:space="preserve">gates/G2.md</t>
  </si>
  <si>
    <t xml:space="preserve">Mọi Must xong, metric đạt</t>
  </si>
  <si>
    <t xml:space="preserve">Planning; checklist Security Evidence Pack (ASVS L2 → bằng chứng)</t>
  </si>
  <si>
    <t xml:space="preserve">Planning; Security Evidence Pack checklist (ASVS L2 → evidence)</t>
  </si>
  <si>
    <t xml:space="preserve">security/evidence-pack.md</t>
  </si>
  <si>
    <t xml:space="preserve">Mọi SEC MUST có bằng chứng dự kiến</t>
  </si>
  <si>
    <t xml:space="preserve">Tách PHI Service + AI Gateway thành ECS service riêng, IAM role riêng (mức B); deny bedrock:InvokeModel* cho role khác</t>
  </si>
  <si>
    <t xml:space="preserve">Split PHI Service + AI Gateway into separate ECS services with own IAM roles (level B); deny bedrock:InvokeModel* elsewhere</t>
  </si>
  <si>
    <t xml:space="preserve">infra/services</t>
  </si>
  <si>
    <t xml:space="preserve">Test SEC-AR-01, SEC-AR-04 qua</t>
  </si>
  <si>
    <t xml:space="preserve">DEK theo hồ sơ (envelope encryption) + crypto-shredding</t>
  </si>
  <si>
    <t xml:space="preserve">Per-record DEK (envelope encryption) + crypto-shredding</t>
  </si>
  <si>
    <t xml:space="preserve">crypto module</t>
  </si>
  <si>
    <t xml:space="preserve">Hồ sơ đã xóa không đọc được kể cả từ backup thử</t>
  </si>
  <si>
    <t xml:space="preserve">Audit log chuỗi hash + job kiểm toàn vẹn hằng ngày (SEC-AR-05)</t>
  </si>
  <si>
    <t xml:space="preserve">Hash-chained audit log + daily integrity job (SEC-AR-05)</t>
  </si>
  <si>
    <t xml:space="preserve">audit job</t>
  </si>
  <si>
    <t xml:space="preserve">Test sửa log bị phát hiện</t>
  </si>
  <si>
    <t xml:space="preserve">WAF managed rules + rate rule; Security Hub/Config ≥ 90%</t>
  </si>
  <si>
    <t xml:space="preserve">infra/edge</t>
  </si>
  <si>
    <t xml:space="preserve">Điểm Security Hub ≥ 90%</t>
  </si>
  <si>
    <t xml:space="preserve">Load test k6 (NFR-02/03/04)</t>
  </si>
  <si>
    <t xml:space="preserve">k6 load test (NFR-02/03/04)</t>
  </si>
  <si>
    <t xml:space="preserve">perf report</t>
  </si>
  <si>
    <t xml:space="preserve">p95 đọc ≤ 300 ms; 95% tài liệu &lt; 2 phút</t>
  </si>
  <si>
    <t xml:space="preserve">DAST ZAP trên staging + fuzz API (schemathesis)</t>
  </si>
  <si>
    <t xml:space="preserve">ZAP DAST on staging + API fuzzing (schemathesis)</t>
  </si>
  <si>
    <t xml:space="preserve">DAST report</t>
  </si>
  <si>
    <t xml:space="preserve">0 High</t>
  </si>
  <si>
    <t xml:space="preserve">Audit WCAG 2.2 AA: bàn phím, trình đọc màn hình, tương phản</t>
  </si>
  <si>
    <t xml:space="preserve">WCAG 2.2 AA audit: keyboard, screen reader, contrast</t>
  </si>
  <si>
    <t xml:space="preserve">a11y report</t>
  </si>
  <si>
    <t xml:space="preserve">0 lỗi nghiêm trọng</t>
  </si>
  <si>
    <t xml:space="preserve">SRE</t>
  </si>
  <si>
    <t xml:space="preserve">SLO + alarm + runbook cho mỗi alarm; dashboard vận hành</t>
  </si>
  <si>
    <t xml:space="preserve">SLOs + alarms + a runbook per alarm; ops dashboard</t>
  </si>
  <si>
    <t xml:space="preserve">runbooks/</t>
  </si>
  <si>
    <t xml:space="preserve">Mọi alarm có runbook</t>
  </si>
  <si>
    <t xml:space="preserve">Review + Retro; cập nhật risk register; buffer</t>
  </si>
  <si>
    <t xml:space="preserve">Review + retro; update risk register; buffer</t>
  </si>
  <si>
    <t xml:space="preserve">reports/sprint-12.md</t>
  </si>
  <si>
    <t xml:space="preserve">Rủi ro đỏ có hành động</t>
  </si>
  <si>
    <t xml:space="preserve">Planning; protocol xác thực lâm sàng: 2 bác sĩ × 100 hồ sơ synthetic</t>
  </si>
  <si>
    <t xml:space="preserve">Planning; clinical validation protocol: 2 clinicians × 100 synthetic records</t>
  </si>
  <si>
    <t xml:space="preserve">safety/validation-protocol.md</t>
  </si>
  <si>
    <t xml:space="preserve">Protocol được duyệt</t>
  </si>
  <si>
    <t xml:space="preserve">Chạy xác thực; đo mức đồng thuận (kappa) về mapping và nội dung</t>
  </si>
  <si>
    <t xml:space="preserve">Run validation; measure agreement (kappa) on mapping and content</t>
  </si>
  <si>
    <t xml:space="preserve">validation results</t>
  </si>
  <si>
    <t xml:space="preserve">Kappa và danh sách bất đồng được ghi</t>
  </si>
  <si>
    <t xml:space="preserve">Summative usability test với kịch bản dùng sai (theo tinh thần IEC 62366)</t>
  </si>
  <si>
    <t xml:space="preserve">Summative usability test with use-error scenarios (IEC 62366 spirit)</t>
  </si>
  <si>
    <t xml:space="preserve">ux/summative.md</t>
  </si>
  <si>
    <t xml:space="preserve">Không còn use-error nghiêm trọng chưa xử lý</t>
  </si>
  <si>
    <t xml:space="preserve">Điều khoản, chính sách quyền riêng tư, consent theo mục đích; DPIA v1</t>
  </si>
  <si>
    <t xml:space="preserve">Terms, privacy policy, purpose-based consent; DPIA v1</t>
  </si>
  <si>
    <t xml:space="preserve">legal/, privacy/DPIA-v1.md</t>
  </si>
  <si>
    <t xml:space="preserve">Consent tách theo mục đích, rút lại được</t>
  </si>
  <si>
    <t xml:space="preserve">Hồ sơ OTIA nếu có chuyển dữ liệu ra nước ngoài (lập trong 60 ngày kể từ khi xử lý)</t>
  </si>
  <si>
    <t xml:space="preserve">OTIA file if data leaves Vietnam (within 60 days of processing)</t>
  </si>
  <si>
    <t xml:space="preserve">privacy/OTIA.md</t>
  </si>
  <si>
    <t xml:space="preserve">Quyết định và căn cứ được ghi</t>
  </si>
  <si>
    <t xml:space="preserve">Claims review: landing page, mô tả store, prompt, email</t>
  </si>
  <si>
    <t xml:space="preserve">Claims review: landing page, store text, prompts, emails</t>
  </si>
  <si>
    <t xml:space="preserve">regulatory/claims-review.md</t>
  </si>
  <si>
    <t xml:space="preserve">Không còn từ cấm</t>
  </si>
  <si>
    <t xml:space="preserve">Clinical Safety Case + cập nhật hazard log sau xác thực</t>
  </si>
  <si>
    <t xml:space="preserve">Clinical Safety Case + hazard log update after validation</t>
  </si>
  <si>
    <t xml:space="preserve">safety/CSC.md</t>
  </si>
  <si>
    <t xml:space="preserve">Không còn rủi ro không chấp nhận được</t>
  </si>
  <si>
    <t xml:space="preserve">Incident Response Plan + tabletop (kịch bản bucket PHI bị public)</t>
  </si>
  <si>
    <t xml:space="preserve">Incident Response Plan + tabletop (public PHI bucket scenario)</t>
  </si>
  <si>
    <t xml:space="preserve">security/IR-plan.md</t>
  </si>
  <si>
    <t xml:space="preserve">Mốc thông báo theo luật BVDLCN được ghi</t>
  </si>
  <si>
    <t xml:space="preserve">DR drill: khôi phục RDS PITR + S3 version; đo RTO/RPO</t>
  </si>
  <si>
    <t xml:space="preserve">DR drill: restore RDS PITR + S3 versions; measure RTO/RPO</t>
  </si>
  <si>
    <t xml:space="preserve">sre/dr-drill-1.md</t>
  </si>
  <si>
    <t xml:space="preserve">RTO ≤ 4 giờ</t>
  </si>
  <si>
    <t xml:space="preserve">Cổng G2-CS; Review + Retro</t>
  </si>
  <si>
    <t xml:space="preserve">Gate G2-CS; review + retro</t>
  </si>
  <si>
    <t xml:space="preserve">gates/G2-CS.md</t>
  </si>
  <si>
    <t xml:space="preserve">Safety Case đã ký</t>
  </si>
  <si>
    <t xml:space="preserve">Planning; phạm vi + rules of engagement cho pentest bên ngoài</t>
  </si>
  <si>
    <t xml:space="preserve">Planning; scope + rules of engagement for external pentest</t>
  </si>
  <si>
    <t xml:space="preserve">security/pentest-RoE.md</t>
  </si>
  <si>
    <t xml:space="preserve">RoE được ký</t>
  </si>
  <si>
    <t xml:space="preserve">Hỗ trợ pentest; công bố security.txt + chính sách công bố lỗ hổng (VDP)</t>
  </si>
  <si>
    <t xml:space="preserve">Support the pentest; publish security.txt + vulnerability disclosure policy (VDP)</t>
  </si>
  <si>
    <t xml:space="preserve">security.txt, VDP</t>
  </si>
  <si>
    <t xml:space="preserve">Đã công bố</t>
  </si>
  <si>
    <t xml:space="preserve">Sửa finding High/Medium + retest</t>
  </si>
  <si>
    <t xml:space="preserve">Fix High/Medium findings + retest</t>
  </si>
  <si>
    <t xml:space="preserve">fix PRs</t>
  </si>
  <si>
    <t xml:space="preserve">Retest qua</t>
  </si>
  <si>
    <t xml:space="preserve">Kiểm thiên lệch theo nhóm (chữ tay/in, ảnh tốt/xấu, VI/EN) + calibration (ECE)</t>
  </si>
  <si>
    <t xml:space="preserve">Bias check by stratum (handwritten/printed, good/bad photo, VI/EN) + calibration (ECE)</t>
  </si>
  <si>
    <t xml:space="preserve">ai/fairness-report.md</t>
  </si>
  <si>
    <t xml:space="preserve">Chênh lệch giữa nhóm trong ngưỡng</t>
  </si>
  <si>
    <t xml:space="preserve">UAT script + UAT với 3–5 người</t>
  </si>
  <si>
    <t xml:space="preserve">UAT script + UAT with 3–5 people</t>
  </si>
  <si>
    <t xml:space="preserve">qa/uat.md</t>
  </si>
  <si>
    <t xml:space="preserve">Pass rate ≥ 90%</t>
  </si>
  <si>
    <t xml:space="preserve">User guide, FAQ, tài liệu API VI/EN hoàn chỉnh</t>
  </si>
  <si>
    <t xml:space="preserve">Complete VI/EN user guide, FAQ, API docs</t>
  </si>
  <si>
    <t xml:space="preserve">docs/</t>
  </si>
  <si>
    <t xml:space="preserve">Thuật ngữ khớp glossary</t>
  </si>
  <si>
    <t xml:space="preserve">SUP</t>
  </si>
  <si>
    <t xml:space="preserve">Mô hình hỗ trợ L1/L2/L3, kênh, SLA phản hồi, knowledge base</t>
  </si>
  <si>
    <t xml:space="preserve">Support model L1/L2/L3, channels, response SLA, knowledge base</t>
  </si>
  <si>
    <t xml:space="preserve">support/plan.md</t>
  </si>
  <si>
    <t xml:space="preserve">Phản hồi an toàn lâm sàng chuyển CSO</t>
  </si>
  <si>
    <t xml:space="preserve">Prod bằng Terraform; blue/green; test rollback</t>
  </si>
  <si>
    <t xml:space="preserve">Prod via Terraform; blue/green; rollback test</t>
  </si>
  <si>
    <t xml:space="preserve">infra/prod</t>
  </si>
  <si>
    <t xml:space="preserve">Rollback &lt; 10 phút</t>
  </si>
  <si>
    <t xml:space="preserve">Chạy release_gate.py + viết readiness report</t>
  </si>
  <si>
    <t xml:space="preserve">Run release_gate.py + write readiness report</t>
  </si>
  <si>
    <t xml:space="preserve">qc/readiness-v1.md</t>
  </si>
  <si>
    <t xml:space="preserve">Khuyến nghị GO/NO-GO có số liệu</t>
  </si>
  <si>
    <t xml:space="preserve">Cổng G3 + G3-P; Review + Retro</t>
  </si>
  <si>
    <t xml:space="preserve">Gates G3 + G3-P; review + retro</t>
  </si>
  <si>
    <t xml:space="preserve">gates/G3.md</t>
  </si>
  <si>
    <t xml:space="preserve">0 High, 0 S1/S2, pentest sạch</t>
  </si>
  <si>
    <t xml:space="preserve">Planning; kế hoạch beta, tiêu chí thành công, consent người tham gia</t>
  </si>
  <si>
    <t xml:space="preserve">Planning; beta plan, success criteria, participant consent</t>
  </si>
  <si>
    <t xml:space="preserve">beta/plan.md</t>
  </si>
  <si>
    <t xml:space="preserve">10–20 người đã đồng ý</t>
  </si>
  <si>
    <t xml:space="preserve">Feature flag, cấu hình prod, ngân sách + cảnh báo 80%</t>
  </si>
  <si>
    <t xml:space="preserve">Feature flags, prod config, budgets + 80% alerts</t>
  </si>
  <si>
    <t xml:space="preserve">config</t>
  </si>
  <si>
    <t xml:space="preserve">Cảnh báo ngân sách thử bắn</t>
  </si>
  <si>
    <t xml:space="preserve">Onboarding người beta, kênh phản hồi, mẫu phân loại phản hồi an toàn</t>
  </si>
  <si>
    <t xml:space="preserve">Onboard beta users, feedback channel, safety feedback triage template</t>
  </si>
  <si>
    <t xml:space="preserve">support/beta-onboarding</t>
  </si>
  <si>
    <t xml:space="preserve">Mọi người beta nhận hướng dẫn</t>
  </si>
  <si>
    <t xml:space="preserve">Lịch on-call cá nhân, kiểm cảnh báo end-to-end</t>
  </si>
  <si>
    <t xml:space="preserve">Personal on-call schedule; end-to-end alert test</t>
  </si>
  <si>
    <t xml:space="preserve">sre/oncall.md</t>
  </si>
  <si>
    <t xml:space="preserve">Cảnh báo tới điện thoại</t>
  </si>
  <si>
    <t xml:space="preserve">Thu &amp; phân loại phản hồi tuần 1 → backlog</t>
  </si>
  <si>
    <t xml:space="preserve">Collect and triage week-1 feedback → backlog</t>
  </si>
  <si>
    <t xml:space="preserve">beta/feedback-w1</t>
  </si>
  <si>
    <t xml:space="preserve">Mỗi phản hồi có nhãn và ưu tiên</t>
  </si>
  <si>
    <t xml:space="preserve">Sửa lỗi beta ưu tiên (S1/S2 trước)</t>
  </si>
  <si>
    <t xml:space="preserve">Fix priority beta bugs (S1/S2 first)</t>
  </si>
  <si>
    <t xml:space="preserve">Không còn S1 mở</t>
  </si>
  <si>
    <t xml:space="preserve">Phân tích trường bị sửa nhiều nhất; prompt v3; eval lại</t>
  </si>
  <si>
    <t xml:space="preserve">Analyse most-corrected fields; prompt v3; re-evaluate</t>
  </si>
  <si>
    <t xml:space="preserve">ai/correction-analysis.md</t>
  </si>
  <si>
    <t xml:space="preserve">F1 không giảm so với G2</t>
  </si>
  <si>
    <t xml:space="preserve">Rà soát báo cáo an toàn từ beta; cập nhật hazard log</t>
  </si>
  <si>
    <t xml:space="preserve">Review beta safety reports; update hazard log</t>
  </si>
  <si>
    <t xml:space="preserve">Mỗi báo cáo có kết luận</t>
  </si>
  <si>
    <t xml:space="preserve">Dashboard sản phẩm: activation, North Star, retention</t>
  </si>
  <si>
    <t xml:space="preserve">Product dashboard: activation, North Star, retention</t>
  </si>
  <si>
    <t xml:space="preserve">dashboards/product</t>
  </si>
  <si>
    <t xml:space="preserve">Số liệu cập nhật hằng ngày</t>
  </si>
  <si>
    <t xml:space="preserve">Review beta + Retro; buffer</t>
  </si>
  <si>
    <t xml:space="preserve">Beta review + retro; buffer</t>
  </si>
  <si>
    <t xml:space="preserve">reports/sprint-15.md</t>
  </si>
  <si>
    <t xml:space="preserve">Quyết định tiếp tục/điều chỉnh</t>
  </si>
  <si>
    <t xml:space="preserve">Planning; launch checklist + kế hoạch truyền thông nhỏ</t>
  </si>
  <si>
    <t xml:space="preserve">Planning; launch checklist + small communication plan</t>
  </si>
  <si>
    <t xml:space="preserve">launch/checklist.md</t>
  </si>
  <si>
    <t xml:space="preserve">Checklist đủ mục</t>
  </si>
  <si>
    <t xml:space="preserve">Regression cuối + smoke test prod</t>
  </si>
  <si>
    <t xml:space="preserve">Final regression + prod smoke test</t>
  </si>
  <si>
    <t xml:space="preserve">qa/final-regression</t>
  </si>
  <si>
    <t xml:space="preserve">Xanh toàn bộ</t>
  </si>
  <si>
    <t xml:space="preserve">Release notes v1.0 + landing page (claims đã duyệt)</t>
  </si>
  <si>
    <t xml:space="preserve">v1.0 release notes + landing page (approved claims)</t>
  </si>
  <si>
    <t xml:space="preserve">release-notes-v1.0</t>
  </si>
  <si>
    <t xml:space="preserve">REG đã duyệt claims</t>
  </si>
  <si>
    <t xml:space="preserve">Họp Go/No-Go; ghi biên bản quyết định</t>
  </si>
  <si>
    <t xml:space="preserve">Go/No-Go meeting; minute the decision</t>
  </si>
  <si>
    <t xml:space="preserve">gates/go-no-go-v1.md</t>
  </si>
  <si>
    <t xml:space="preserve">Có quyết định và điều kiện</t>
  </si>
  <si>
    <t xml:space="preserve">Phát hành v1.0: canary → 100%</t>
  </si>
  <si>
    <t xml:space="preserve">Release v1.0: canary → 100%</t>
  </si>
  <si>
    <t xml:space="preserve">release tag v1.0</t>
  </si>
  <si>
    <t xml:space="preserve">Không rollback</t>
  </si>
  <si>
    <t xml:space="preserve">Theo dõi 48 giờ; kiểm SLO, lỗi, chi phí</t>
  </si>
  <si>
    <t xml:space="preserve">Watch for 48 hours; check SLOs, errors, cost</t>
  </si>
  <si>
    <t xml:space="preserve">sre/launch-watch.md</t>
  </si>
  <si>
    <t xml:space="preserve">SLO đạt</t>
  </si>
  <si>
    <t xml:space="preserve">Bắt đầu hypercare: triage hằng ngày</t>
  </si>
  <si>
    <t xml:space="preserve">Start hypercare: daily triage</t>
  </si>
  <si>
    <t xml:space="preserve">support/hypercare-log</t>
  </si>
  <si>
    <t xml:space="preserve">Ticket được phân loại trong 24 giờ</t>
  </si>
  <si>
    <t xml:space="preserve">Sửa lỗi giao diện sau launch</t>
  </si>
  <si>
    <t xml:space="preserve">Fix post-launch UI bugs</t>
  </si>
  <si>
    <t xml:space="preserve">Lỗi S1/S2 giao diện = 0</t>
  </si>
  <si>
    <t xml:space="preserve">Báo cáo metric tuần đầu</t>
  </si>
  <si>
    <t xml:space="preserve">First-week metrics report</t>
  </si>
  <si>
    <t xml:space="preserve">reports/launch-week1.md</t>
  </si>
  <si>
    <t xml:space="preserve">Có so sánh với mục tiêu</t>
  </si>
  <si>
    <t xml:space="preserve">Cổng G4 launch review + post-launch retro</t>
  </si>
  <si>
    <t xml:space="preserve">Gate G4 launch review + post-launch retro</t>
  </si>
  <si>
    <t xml:space="preserve">gates/G4.md</t>
  </si>
  <si>
    <t xml:space="preserve">Metric beta đạt; retro có hành động</t>
  </si>
  <si>
    <t xml:space="preserve">Planning; backlog v1.5 ưu tiên bằng RICE (rice_score.py)</t>
  </si>
  <si>
    <t xml:space="preserve">Planning; v1.5 backlog prioritised with RICE (rice_score.py)</t>
  </si>
  <si>
    <t xml:space="preserve">product/v1.5-backlog</t>
  </si>
  <si>
    <t xml:space="preserve">Top 10 có điểm RICE</t>
  </si>
  <si>
    <t xml:space="preserve">Nhập PDF có lớp chữ: trích trực tiếp, bỏ OCR (BR-045)</t>
  </si>
  <si>
    <t xml:space="preserve">Text-layer PDF import: extract directly, skip OCR (BR-045)</t>
  </si>
  <si>
    <t xml:space="preserve">import/pdf</t>
  </si>
  <si>
    <t xml:space="preserve">Test BR-045 qua</t>
  </si>
  <si>
    <t xml:space="preserve">Nhập DOCX; chặn macro và đối tượng nhúng</t>
  </si>
  <si>
    <t xml:space="preserve">DOCX import; block macros and embedded objects</t>
  </si>
  <si>
    <t xml:space="preserve">import/docx</t>
  </si>
  <si>
    <t xml:space="preserve">File có macro bị từ chối</t>
  </si>
  <si>
    <t xml:space="preserve">Nhập FHIR R4 Bundle: map Condition/Observation/Procedure không qua LLM</t>
  </si>
  <si>
    <t xml:space="preserve">FHIR R4 Bundle import: map Condition/Observation/Procedure without LLM</t>
  </si>
  <si>
    <t xml:space="preserve">import/fhir</t>
  </si>
  <si>
    <t xml:space="preserve">Bundle mẫu map đúng 100%</t>
  </si>
  <si>
    <t xml:space="preserve">Test import + file độc (PDF chứa JS, DOCX macro, FHIR sai schema)</t>
  </si>
  <si>
    <t xml:space="preserve">Import tests + malicious files (JS-PDF, macro DOCX, invalid FHIR)</t>
  </si>
  <si>
    <t xml:space="preserve">tests/import</t>
  </si>
  <si>
    <t xml:space="preserve">Hợp nhất nguồn mâu thuẫn: record &gt; image_derived &gt; patient_reported + cảnh báo (BR-044)</t>
  </si>
  <si>
    <t xml:space="preserve">Merge conflicting sources: record &gt; image_derived &gt; patient_reported + warning (BR-044)</t>
  </si>
  <si>
    <t xml:space="preserve">merge logic</t>
  </si>
  <si>
    <t xml:space="preserve">Test BR-044 qua</t>
  </si>
  <si>
    <t xml:space="preserve">Dashboard chi phí: USD/tài liệu, cache hit, tỉ lệ chuyển tầng</t>
  </si>
  <si>
    <t xml:space="preserve">Cost dashboard: USD/doc, cache hit, escalation rate</t>
  </si>
  <si>
    <t xml:space="preserve">dashboards/cost</t>
  </si>
  <si>
    <t xml:space="preserve">Cảnh báo vượt ngân sách ngày</t>
  </si>
  <si>
    <t xml:space="preserve">Hypercare: cập nhật knowledge base từ ticket</t>
  </si>
  <si>
    <t xml:space="preserve">Hypercare: update knowledge base from tickets</t>
  </si>
  <si>
    <t xml:space="preserve">support/kb</t>
  </si>
  <si>
    <t xml:space="preserve">Top-10 câu hỏi có bài KB</t>
  </si>
  <si>
    <t xml:space="preserve">Error budget review (error_budget.py)</t>
  </si>
  <si>
    <t xml:space="preserve">sre/error-budget.md</t>
  </si>
  <si>
    <t xml:space="preserve">Quyết định theo chính sách error budget</t>
  </si>
  <si>
    <t xml:space="preserve">Review + Retro; buffer</t>
  </si>
  <si>
    <t xml:space="preserve">Review + retro; buffer</t>
  </si>
  <si>
    <t xml:space="preserve">reports/sprint-17.md</t>
  </si>
  <si>
    <t xml:space="preserve">Planning; spec template theo giới/tuổi, organ_status, biểu tượng dụng cụ</t>
  </si>
  <si>
    <t xml:space="preserve">Planning; spec for sex/age templates, organ_status, device glyphs</t>
  </si>
  <si>
    <t xml:space="preserve">Mọi loại lệch ở 27.1 có cách hiển thị</t>
  </si>
  <si>
    <t xml:space="preserve">Template nam/nữ/trẻ em; mesh có thể ẩn; glyph implant/stent/máy tạo nhịp</t>
  </si>
  <si>
    <t xml:space="preserve">Male/female/child templates; hideable meshes; implant/stent/pacemaker glyphs</t>
  </si>
  <si>
    <t xml:space="preserve">assets/templates</t>
  </si>
  <si>
    <t xml:space="preserve">check_glb_regions.py qua cho mọi template</t>
  </si>
  <si>
    <t xml:space="preserve">Scale theo chiều cao/cân nặng; ẩn cơ quan đã cắt; cây vùng phân cấp (precision)</t>
  </si>
  <si>
    <t xml:space="preserve">Scale by height/weight; hide resected organs; hierarchical region tree (precision)</t>
  </si>
  <si>
    <t xml:space="preserve">viewer variants</t>
  </si>
  <si>
    <t xml:space="preserve">Bộ test đặc biệt hiển thị đúng</t>
  </si>
  <si>
    <t xml:space="preserve">Trường organ_status, devices, variants trong hồ sơ</t>
  </si>
  <si>
    <t xml:space="preserve">organ_status, devices, variants fields on the profile</t>
  </si>
  <si>
    <t xml:space="preserve">migrations + API</t>
  </si>
  <si>
    <t xml:space="preserve">Migration và API có test</t>
  </si>
  <si>
    <t xml:space="preserve">Consent đóng góp dữ liệu (opt-in) + rút consent</t>
  </si>
  <si>
    <t xml:space="preserve">Opt-in data donation consent + withdrawal</t>
  </si>
  <si>
    <t xml:space="preserve">legal/donation-consent</t>
  </si>
  <si>
    <t xml:space="preserve">Consent riêng, rõ mục đích</t>
  </si>
  <si>
    <t xml:space="preserve">Quy trình đóng góp: khử định danh, kiểm mẫu ngẫu nhiên, vào dataset registry</t>
  </si>
  <si>
    <t xml:space="preserve">Donation pipeline: de-identification, random sample check, dataset registry</t>
  </si>
  <si>
    <t xml:space="preserve">data/donation-pipeline.md</t>
  </si>
  <si>
    <t xml:space="preserve">Rút consent → loại khỏi version sau</t>
  </si>
  <si>
    <t xml:space="preserve">Bộ test giải phẫu đặc biệt (30 hồ sơ) + visual regression</t>
  </si>
  <si>
    <t xml:space="preserve">Special-anatomy test set (30 records) + visual regression</t>
  </si>
  <si>
    <t xml:space="preserve">tests/special-anatomy</t>
  </si>
  <si>
    <t xml:space="preserve">Duyệt hiển thị từng loại lệch giải phẫu</t>
  </si>
  <si>
    <t xml:space="preserve">Approve display of each anatomy deviation type</t>
  </si>
  <si>
    <t xml:space="preserve">Ký duyệt</t>
  </si>
  <si>
    <t xml:space="preserve">Đánh giá hypercare: S1/S2, SLO, backlog hỗ trợ</t>
  </si>
  <si>
    <t xml:space="preserve">Hypercare assessment: S1/S2, SLOs, support backlog</t>
  </si>
  <si>
    <t xml:space="preserve">support/hypercare-report.md</t>
  </si>
  <si>
    <t xml:space="preserve">Đủ dữ liệu cho G5-H</t>
  </si>
  <si>
    <t xml:space="preserve">Cổng G5-H; Review + Retro</t>
  </si>
  <si>
    <t xml:space="preserve">Gate G5-H; review + retro</t>
  </si>
  <si>
    <t xml:space="preserve">gates/G5-H.md</t>
  </si>
  <si>
    <t xml:space="preserve">Tiêu chí G5-H đạt</t>
  </si>
  <si>
    <t xml:space="preserve">Planning; BR + extraction schema cho 2 Unit mới</t>
  </si>
  <si>
    <t xml:space="preserve">Planning; BRs + extraction schema for 2 new Units</t>
  </si>
  <si>
    <t xml:space="preserve">units spec</t>
  </si>
  <si>
    <t xml:space="preserve">Schema được AI và CIN review</t>
  </si>
  <si>
    <t xml:space="preserve">Mesh phổi (theo thùy), thận/niệu quản/bàng quang theo region_code</t>
  </si>
  <si>
    <t xml:space="preserve">Lung (by lobe), kidney/ureter/bladder meshes by region_code</t>
  </si>
  <si>
    <t xml:space="preserve">assets/resp, assets/uro</t>
  </si>
  <si>
    <t xml:space="preserve">check_glb_regions.py qua</t>
  </si>
  <si>
    <t xml:space="preserve">Unit config 2 Unit (PB-02, ≤ 3 ngày/Unit)</t>
  </si>
  <si>
    <t xml:space="preserve">Unit configs for 2 Units (PB-02, ≤ 3 days/Unit)</t>
  </si>
  <si>
    <t xml:space="preserve">units/*.yaml</t>
  </si>
  <si>
    <t xml:space="preserve">Không sửa code lõi (NFR-12)</t>
  </si>
  <si>
    <t xml:space="preserve">Trích xuất 2 Unit mới + golden 200 mẫu/Unit</t>
  </si>
  <si>
    <t xml:space="preserve">Extraction for 2 new Units + 200 golden docs per Unit</t>
  </si>
  <si>
    <t xml:space="preserve">prompts/resp, prompts/uro</t>
  </si>
  <si>
    <t xml:space="preserve">F1 ≥ 0,80 mỗi Unit</t>
  </si>
  <si>
    <t xml:space="preserve">Router Tier L + ngưỡng chuyển tầng theo calibration; batch inference ban đêm</t>
  </si>
  <si>
    <t xml:space="preserve">Tier-L routing + calibrated escalation thresholds; nightly batch inference</t>
  </si>
  <si>
    <t xml:space="preserve">router config v2</t>
  </si>
  <si>
    <t xml:space="preserve">Chuyển tầng L ≤ 15%</t>
  </si>
  <si>
    <t xml:space="preserve">Model registry + Model Card; fallback provider qua AppConfig</t>
  </si>
  <si>
    <t xml:space="preserve">Model registry + Model Cards; fallback provider via AppConfig</t>
  </si>
  <si>
    <t xml:space="preserve">mlops/registry</t>
  </si>
  <si>
    <t xml:space="preserve">Đổi provider &lt; 5 phút</t>
  </si>
  <si>
    <t xml:space="preserve">Viewer cho 2 Unit mới</t>
  </si>
  <si>
    <t xml:space="preserve">Viewers for the 2 new Units</t>
  </si>
  <si>
    <t xml:space="preserve">unit viewers</t>
  </si>
  <si>
    <t xml:space="preserve">Visual test qua</t>
  </si>
  <si>
    <t xml:space="preserve">Mở rộng mapping ICD-10/LOINC (eGFR, creatinine, chức năng hô hấp)</t>
  </si>
  <si>
    <t xml:space="preserve">Extend ICD-10/LOINC mapping (eGFR, creatinine, lung function)</t>
  </si>
  <si>
    <t xml:space="preserve">terminology/</t>
  </si>
  <si>
    <t xml:space="preserve">Mapping có test</t>
  </si>
  <si>
    <t xml:space="preserve">Regression + eval toàn bộ Unit</t>
  </si>
  <si>
    <t xml:space="preserve">Regression + evaluation across all Units</t>
  </si>
  <si>
    <t xml:space="preserve">qa/regression-S19</t>
  </si>
  <si>
    <t xml:space="preserve">0 S1/S2 mở</t>
  </si>
  <si>
    <t xml:space="preserve">reports/sprint-19.md</t>
  </si>
  <si>
    <t xml:space="preserve">Planning; kế hoạch hợp tác dữ liệu tầng 4 (cơ sở y tế)</t>
  </si>
  <si>
    <t xml:space="preserve">Planning; tier-4 data partnership plan (healthcare facility)</t>
  </si>
  <si>
    <t xml:space="preserve">data/partnership-plan.md</t>
  </si>
  <si>
    <t xml:space="preserve">Danh sách đối tác tiềm năng + điều kiện</t>
  </si>
  <si>
    <t xml:space="preserve">Mẫu thỏa thuận chia sẻ dữ liệu + yêu cầu phê duyệt hội đồng đạo đức của đối tác</t>
  </si>
  <si>
    <t xml:space="preserve">Data sharing agreement template + partner ethics approval requirement</t>
  </si>
  <si>
    <t xml:space="preserve">legal/DSA-template</t>
  </si>
  <si>
    <t xml:space="preserve">Có điều khoản mục đích, khử định danh, xóa</t>
  </si>
  <si>
    <t xml:space="preserve">Hướng dẫn gán nhãn v1; tuyển 2–3 sinh viên y (NDA, trả công minh bạch)</t>
  </si>
  <si>
    <t xml:space="preserve">Annotation guideline v1; recruit 2–3 medical students (NDA, transparent pay)</t>
  </si>
  <si>
    <t xml:space="preserve">data/annotation-guide.md</t>
  </si>
  <si>
    <t xml:space="preserve">Guideline có ví dụ mẫu</t>
  </si>
  <si>
    <t xml:space="preserve">Gán nhãn thử 100 mẫu; đo kappa</t>
  </si>
  <si>
    <t xml:space="preserve">Pilot-annotate 100 samples; measure kappa</t>
  </si>
  <si>
    <t xml:space="preserve">data/annotation-pilot</t>
  </si>
  <si>
    <t xml:space="preserve">Kappa ≥ 0,8</t>
  </si>
  <si>
    <t xml:space="preserve">Learning curve cho classifier trang (10/25/50/100%)</t>
  </si>
  <si>
    <t xml:space="preserve">Learning curve for the page classifier (10/25/50/100%)</t>
  </si>
  <si>
    <t xml:space="preserve">ai/learning-curve.md</t>
  </si>
  <si>
    <t xml:space="preserve">Kết luận thu thêm hay dừng</t>
  </si>
  <si>
    <t xml:space="preserve">Rà soát bảo mật v1.5 (import, donation) + cập nhật threat model</t>
  </si>
  <si>
    <t xml:space="preserve">v1.5 security review (import, donation) + threat model update</t>
  </si>
  <si>
    <t xml:space="preserve">security/review-v1.5</t>
  </si>
  <si>
    <t xml:space="preserve">0 High mở</t>
  </si>
  <si>
    <t xml:space="preserve">Regression v1.5</t>
  </si>
  <si>
    <t xml:space="preserve">v1.5 regression</t>
  </si>
  <si>
    <t xml:space="preserve">qa/regression-v1.5</t>
  </si>
  <si>
    <t xml:space="preserve">Release notes v1.5 + tài liệu nhập bệnh án số</t>
  </si>
  <si>
    <t xml:space="preserve">v1.5 release notes + digital import docs</t>
  </si>
  <si>
    <t xml:space="preserve">release-notes-v1.5</t>
  </si>
  <si>
    <t xml:space="preserve">VI/EN đủ</t>
  </si>
  <si>
    <t xml:space="preserve">Phát hành v1.5 (canary)</t>
  </si>
  <si>
    <t xml:space="preserve">Release v1.5 (canary)</t>
  </si>
  <si>
    <t xml:space="preserve">release tag v1.5</t>
  </si>
  <si>
    <t xml:space="preserve">Cổng G5 (release v1.5); Review + Retro</t>
  </si>
  <si>
    <t xml:space="preserve">Gate G5 (v1.5 release); review + retro</t>
  </si>
  <si>
    <t xml:space="preserve">gates/G5.md</t>
  </si>
  <si>
    <t xml:space="preserve">Tiêu chí G5 đạt</t>
  </si>
  <si>
    <t xml:space="preserve">Planning; G0-R lại cho CT: cập nhật RDR, xác nhận BR-042; hỏi chuyên gia nếu cần</t>
  </si>
  <si>
    <t xml:space="preserve">Planning; redo G0-R for CT: update RDR, confirm BR-042; seek expert advice if needed</t>
  </si>
  <si>
    <t xml:space="preserve">regulatory/RDR-002.md</t>
  </si>
  <si>
    <t xml:space="preserve">Ranh giới minh họa được ghi rõ</t>
  </si>
  <si>
    <t xml:space="preserve">IMG</t>
  </si>
  <si>
    <t xml:space="preserve">Spike DICOM: pydicom, đọc series, metadata, sắp xếp lát cắt</t>
  </si>
  <si>
    <t xml:space="preserve">DICOM spike: pydicom, read series, metadata, slice ordering</t>
  </si>
  <si>
    <t xml:space="preserve">imaging/spike</t>
  </si>
  <si>
    <t xml:space="preserve">Đọc được series mẫu công khai</t>
  </si>
  <si>
    <t xml:space="preserve">Khử định danh DICOM theo PS3.15 (Basic profile) + OCR kiểm chữ in trên ảnh</t>
  </si>
  <si>
    <t xml:space="preserve">DICOM de-identification per PS3.15 (Basic profile) + OCR check for burned-in text</t>
  </si>
  <si>
    <t xml:space="preserve">imaging/deid</t>
  </si>
  <si>
    <t xml:space="preserve">Không còn tag định danh; test burned-in qua</t>
  </si>
  <si>
    <t xml:space="preserve">ADR imaging: S3 + Orthanc vs HealthImaging (không có ở Singapore → cần OTIA)</t>
  </si>
  <si>
    <t xml:space="preserve">Imaging ADR: S3 + Orthanc vs HealthImaging (not in Singapore → OTIA needed)</t>
  </si>
  <si>
    <t xml:space="preserve">docs/adr/ADR-020</t>
  </si>
  <si>
    <t xml:space="preserve">Có lý do chọn và hệ quả</t>
  </si>
  <si>
    <t xml:space="preserve">Threat model DICOM (file lớn, parser, PHI trong header)</t>
  </si>
  <si>
    <t xml:space="preserve">DICOM threat model (large files, parsers, PHI in headers)</t>
  </si>
  <si>
    <t xml:space="preserve">security/threat-model-ct</t>
  </si>
  <si>
    <t xml:space="preserve">Mỗi mối đe dọa có biện pháp</t>
  </si>
  <si>
    <t xml:space="preserve">Upload ZIP series ≤ 1 GB: multipart, quét malware, giải nén an toàn (chống zip bomb)</t>
  </si>
  <si>
    <t xml:space="preserve">Series ZIP upload ≤ 1 GB: multipart, malware scan, safe unzip (zip-bomb protection)</t>
  </si>
  <si>
    <t xml:space="preserve">ct upload API</t>
  </si>
  <si>
    <t xml:space="preserve">Zip bomb bị chặn</t>
  </si>
  <si>
    <t xml:space="preserve">Dataset CT (TotalSegmentator trên IDC CC BY 4.0, TCIA) vào License Register + Dataset Card</t>
  </si>
  <si>
    <t xml:space="preserve">CT datasets (TotalSegmentator on IDC CC BY 4.0, TCIA) into License Register + Dataset Cards</t>
  </si>
  <si>
    <t xml:space="preserve">License từng bộ đã kiểm</t>
  </si>
  <si>
    <t xml:space="preserve">Hazard log cho CT (hiểu nhầm là kết quả đọc phim)</t>
  </si>
  <si>
    <t xml:space="preserve">CT hazard log (mistaken for a radiology read)</t>
  </si>
  <si>
    <t xml:space="preserve">Có biện pháp hiển thị và cảnh báo</t>
  </si>
  <si>
    <t xml:space="preserve">Test strategy CT + bộ DICOM test</t>
  </si>
  <si>
    <t xml:space="preserve">CT test strategy + DICOM test set</t>
  </si>
  <si>
    <t xml:space="preserve">qa/ct-strategy.md</t>
  </si>
  <si>
    <t xml:space="preserve">Bộ test gồm ca biên</t>
  </si>
  <si>
    <t xml:space="preserve">Cổng G0-R (CT); Review + Retro</t>
  </si>
  <si>
    <t xml:space="preserve">Gate G0-R (CT); review + retro</t>
  </si>
  <si>
    <t xml:space="preserve">gates/G0-R-CT.md</t>
  </si>
  <si>
    <t xml:space="preserve">RDR-002 được duyệt</t>
  </si>
  <si>
    <t xml:space="preserve">Planning; viewer lát cắt bằng Cornerstone3D/OHIF</t>
  </si>
  <si>
    <t xml:space="preserve">Planning; slice viewer with Cornerstone3D/OHIF</t>
  </si>
  <si>
    <t xml:space="preserve">ct viewer</t>
  </si>
  <si>
    <t xml:space="preserve">Cuộn lát cắt mượt</t>
  </si>
  <si>
    <t xml:space="preserve">Chạy TotalSegmentator trên GPU worker</t>
  </si>
  <si>
    <t xml:space="preserve">Run TotalSegmentator on a GPU worker</t>
  </si>
  <si>
    <t xml:space="preserve">imaging/segment</t>
  </si>
  <si>
    <t xml:space="preserve">Mask cơ quan cho series mẫu</t>
  </si>
  <si>
    <t xml:space="preserve">GPU serving scale-to-zero (ECS/Batch GPU hoặc SageMaker async), dùng Spot</t>
  </si>
  <si>
    <t xml:space="preserve">Scale-to-zero GPU serving (ECS/Batch GPU or SageMaker async) on Spot</t>
  </si>
  <si>
    <t xml:space="preserve">infra/gpu</t>
  </si>
  <si>
    <t xml:space="preserve">Chi phí/ca được đo</t>
  </si>
  <si>
    <t xml:space="preserve">Map nhãn TotalSegmentator → region_code</t>
  </si>
  <si>
    <t xml:space="preserve">Map TotalSegmentator labels → region_code</t>
  </si>
  <si>
    <t xml:space="preserve">imaging/label-map</t>
  </si>
  <si>
    <t xml:space="preserve">Mọi nhãn dùng được có region_code</t>
  </si>
  <si>
    <t xml:space="preserve">Marching cubes → mesh, giảm đa giác, xuất GLB</t>
  </si>
  <si>
    <t xml:space="preserve">Marching cubes → mesh, decimation, GLB export</t>
  </si>
  <si>
    <t xml:space="preserve">imaging/mesh</t>
  </si>
  <si>
    <t xml:space="preserve">Mesh &lt; ngân sách kích thước</t>
  </si>
  <si>
    <t xml:space="preserve">Hiển thị mesh từ CT trên viewer 3D</t>
  </si>
  <si>
    <t xml:space="preserve">Show CT-derived meshes in the 3D viewer</t>
  </si>
  <si>
    <t xml:space="preserve">Tải &lt; 5 giây trên mạng 4G</t>
  </si>
  <si>
    <t xml:space="preserve">Test hiệu năng tải mesh + chất lượng mesh</t>
  </si>
  <si>
    <t xml:space="preserve">Mesh load performance + mesh quality tests</t>
  </si>
  <si>
    <t xml:space="preserve">tests/ct-mesh</t>
  </si>
  <si>
    <t xml:space="preserve">Đạt ngân sách hiệu năng</t>
  </si>
  <si>
    <t xml:space="preserve">G1-D lần 2: kiểm quyền huấn luyện và quyền dùng model trong sản phẩm trước fine-tune</t>
  </si>
  <si>
    <t xml:space="preserve">G1-D round 2: verify right to train and to ship the model before fine-tuning</t>
  </si>
  <si>
    <t xml:space="preserve">data/G1-D-r2.md</t>
  </si>
  <si>
    <t xml:space="preserve">Checklist 25.6 đạt</t>
  </si>
  <si>
    <t xml:space="preserve">Kế hoạch distillation: dataset từ output đã xác nhận + synthetic</t>
  </si>
  <si>
    <t xml:space="preserve">Distillation plan: dataset from confirmed outputs + synthetic</t>
  </si>
  <si>
    <t xml:space="preserve">ai/distill-plan.md</t>
  </si>
  <si>
    <t xml:space="preserve">Dataset có version và lineage</t>
  </si>
  <si>
    <t xml:space="preserve">reports/sprint-22.md</t>
  </si>
  <si>
    <t xml:space="preserve">Planning; phát hiện landmark giải phẫu trên CT</t>
  </si>
  <si>
    <t xml:space="preserve">Planning; anatomical landmark detection on CT</t>
  </si>
  <si>
    <t xml:space="preserve">imaging/landmarks</t>
  </si>
  <si>
    <t xml:space="preserve">Landmark cho series mẫu</t>
  </si>
  <si>
    <t xml:space="preserve">Registration rigid/affine + TPS về template</t>
  </si>
  <si>
    <t xml:space="preserve">Rigid/affine + TPS registration to the template</t>
  </si>
  <si>
    <t xml:space="preserve">imaging/registration</t>
  </si>
  <si>
    <t xml:space="preserve">Chạy được trên bộ mẫu</t>
  </si>
  <si>
    <t xml:space="preserve">Đo registration error trên bộ đối chiếu</t>
  </si>
  <si>
    <t xml:space="preserve">Measure registration error on the reference set</t>
  </si>
  <si>
    <t xml:space="preserve">imaging/reg-report.md</t>
  </si>
  <si>
    <t xml:space="preserve">Sai số &lt; 15 mm</t>
  </si>
  <si>
    <t xml:space="preserve">Chế độ so sánh template vs giải phẫu cá nhân</t>
  </si>
  <si>
    <t xml:space="preserve">Template vs patient-anatomy comparison mode</t>
  </si>
  <si>
    <t xml:space="preserve">compare mode</t>
  </si>
  <si>
    <t xml:space="preserve">Chuyển chế độ &lt; 1 giây</t>
  </si>
  <si>
    <t xml:space="preserve">Liên kết finding từ báo cáo đọc phim → vùng trên mesh cá nhân (image_derived)</t>
  </si>
  <si>
    <t xml:space="preserve">Link findings from radiology reports → regions on the patient mesh (image_derived)</t>
  </si>
  <si>
    <t xml:space="preserve">findings linkage</t>
  </si>
  <si>
    <t xml:space="preserve">Nhãn nguồn hiển thị đúng</t>
  </si>
  <si>
    <t xml:space="preserve">Trích xuất báo cáo đọc phim CT</t>
  </si>
  <si>
    <t xml:space="preserve">Extract CT radiology reports</t>
  </si>
  <si>
    <t xml:space="preserve">prompts/ct-report</t>
  </si>
  <si>
    <t xml:space="preserve">F1 ≥ 0,80 trên bộ mẫu</t>
  </si>
  <si>
    <t xml:space="preserve">Duyệt hiển thị + cảnh báo 'minh họa, không phải kết quả đọc phim'</t>
  </si>
  <si>
    <t xml:space="preserve">Approve display + 'illustration, not a radiology read' warning</t>
  </si>
  <si>
    <t xml:space="preserve">Usability test viewer CT</t>
  </si>
  <si>
    <t xml:space="preserve">CT viewer usability test</t>
  </si>
  <si>
    <t xml:space="preserve">ux/ct-usability.md</t>
  </si>
  <si>
    <t xml:space="preserve">Task success ≥ 80%</t>
  </si>
  <si>
    <t xml:space="preserve">Visual regression + test registration</t>
  </si>
  <si>
    <t xml:space="preserve">Visual regression + registration tests</t>
  </si>
  <si>
    <t xml:space="preserve">tests/registration</t>
  </si>
  <si>
    <t xml:space="preserve">reports/sprint-23.md</t>
  </si>
  <si>
    <t xml:space="preserve">Planning; pipeline fine-tune model nhỏ cho trích xuất</t>
  </si>
  <si>
    <t xml:space="preserve">Planning; fine-tuning pipeline for a small extraction model</t>
  </si>
  <si>
    <t xml:space="preserve">mlops/finetune</t>
  </si>
  <si>
    <t xml:space="preserve">Pipeline tái lập được</t>
  </si>
  <si>
    <t xml:space="preserve">Train + eval model distill so với Tier M</t>
  </si>
  <si>
    <t xml:space="preserve">Train + evaluate the distilled model vs Tier M</t>
  </si>
  <si>
    <t xml:space="preserve">ai/distill-eval.md</t>
  </si>
  <si>
    <t xml:space="preserve">F1 chênh ≤ 2 điểm</t>
  </si>
  <si>
    <t xml:space="preserve">Serving (Bedrock Custom Model Import hoặc vLLM) + shadow mode</t>
  </si>
  <si>
    <t xml:space="preserve">Serving (Bedrock Custom Model Import or vLLM) + shadow mode</t>
  </si>
  <si>
    <t xml:space="preserve">serving config</t>
  </si>
  <si>
    <t xml:space="preserve">Shadow log so sánh đủ 1 tuần</t>
  </si>
  <si>
    <t xml:space="preserve">Phân tích hòa vốn tự host vs API (cost model)</t>
  </si>
  <si>
    <t xml:space="preserve">Self-host vs API break-even analysis (cost model)</t>
  </si>
  <si>
    <t xml:space="preserve">mlops/break-even.md</t>
  </si>
  <si>
    <t xml:space="preserve">Có khuyến nghị theo sản lượng</t>
  </si>
  <si>
    <t xml:space="preserve">Bake-off model định kỳ (quý)</t>
  </si>
  <si>
    <t xml:space="preserve">Quarterly model bake-off</t>
  </si>
  <si>
    <t xml:space="preserve">ai/bakeoff-Q</t>
  </si>
  <si>
    <t xml:space="preserve">Bảng điểm chất lượng/chi phí</t>
  </si>
  <si>
    <t xml:space="preserve">Job theo dõi drift hằng tuần</t>
  </si>
  <si>
    <t xml:space="preserve">Weekly drift-monitoring job</t>
  </si>
  <si>
    <t xml:space="preserve">jobs/drift</t>
  </si>
  <si>
    <t xml:space="preserve">Cảnh báo khi lệch &gt; 20%</t>
  </si>
  <si>
    <t xml:space="preserve">Chuỗi cung ứng model: nguồn weights, hash, license</t>
  </si>
  <si>
    <t xml:space="preserve">Model supply chain: weight provenance, hashes, licences</t>
  </si>
  <si>
    <t xml:space="preserve">security/model-supply-chain</t>
  </si>
  <si>
    <t xml:space="preserve">Mọi weights có hash và license</t>
  </si>
  <si>
    <t xml:space="preserve">AI Impact Assessment cho model mới</t>
  </si>
  <si>
    <t xml:space="preserve">AI Impact Assessment for the new model</t>
  </si>
  <si>
    <t xml:space="preserve">regulatory/AIIA-002.md</t>
  </si>
  <si>
    <t xml:space="preserve">Được duyệt</t>
  </si>
  <si>
    <t xml:space="preserve">Regression + eval với model mới</t>
  </si>
  <si>
    <t xml:space="preserve">Regression + evaluation with the new model</t>
  </si>
  <si>
    <t xml:space="preserve">qa/regression-S24</t>
  </si>
  <si>
    <t xml:space="preserve">Không giảm chất lượng</t>
  </si>
  <si>
    <t xml:space="preserve">reports/sprint-24.md</t>
  </si>
  <si>
    <t xml:space="preserve">Quyết định bật/không bật model mới</t>
  </si>
  <si>
    <t xml:space="preserve">Planning; đặc tả FHIR export (Bundle) cho người dùng</t>
  </si>
  <si>
    <t xml:space="preserve">Planning; FHIR export (Bundle) specification for users</t>
  </si>
  <si>
    <t xml:space="preserve">fhir/export-spec.md</t>
  </si>
  <si>
    <t xml:space="preserve">Profile resource rõ ràng</t>
  </si>
  <si>
    <t xml:space="preserve">API export FHIR + kiểm bằng FHIR validator</t>
  </si>
  <si>
    <t xml:space="preserve">FHIR export API + FHIR validator checks</t>
  </si>
  <si>
    <t xml:space="preserve">export API</t>
  </si>
  <si>
    <t xml:space="preserve">Validator không lỗi</t>
  </si>
  <si>
    <t xml:space="preserve">Pentest delta cho CT/import</t>
  </si>
  <si>
    <t xml:space="preserve">Delta pentest for CT/import</t>
  </si>
  <si>
    <t xml:space="preserve">pentest-delta report</t>
  </si>
  <si>
    <t xml:space="preserve">0 High/Critical</t>
  </si>
  <si>
    <t xml:space="preserve">Xác thực lâm sàng CT trên 20 ca</t>
  </si>
  <si>
    <t xml:space="preserve">CT clinical validation on 20 cases</t>
  </si>
  <si>
    <t xml:space="preserve">safety/ct-validation.md</t>
  </si>
  <si>
    <t xml:space="preserve">Đồng thuận được ghi</t>
  </si>
  <si>
    <t xml:space="preserve">Load test pipeline GPU</t>
  </si>
  <si>
    <t xml:space="preserve">GPU pipeline load test</t>
  </si>
  <si>
    <t xml:space="preserve">Thời gian/ca trong mục tiêu</t>
  </si>
  <si>
    <t xml:space="preserve">DR drill lần 2 + game day</t>
  </si>
  <si>
    <t xml:space="preserve">Second DR drill + game day</t>
  </si>
  <si>
    <t xml:space="preserve">sre/dr-drill-2.md</t>
  </si>
  <si>
    <t xml:space="preserve">RTO/RPO đạt</t>
  </si>
  <si>
    <t xml:space="preserve">Tài liệu v2 VI/EN</t>
  </si>
  <si>
    <t xml:space="preserve">v2 documentation VI/EN</t>
  </si>
  <si>
    <t xml:space="preserve">docs/v2</t>
  </si>
  <si>
    <t xml:space="preserve">Đủ luồng CT</t>
  </si>
  <si>
    <t xml:space="preserve">Knowledge base v2 + kịch bản hỗ trợ CT</t>
  </si>
  <si>
    <t xml:space="preserve">Knowledge base v2 + CT support scripts</t>
  </si>
  <si>
    <t xml:space="preserve">support/kb-v2</t>
  </si>
  <si>
    <t xml:space="preserve">Có bài cho câu hỏi CT</t>
  </si>
  <si>
    <t xml:space="preserve">Readiness review v2 (trước G6)</t>
  </si>
  <si>
    <t xml:space="preserve">v2 readiness review (pre-G6)</t>
  </si>
  <si>
    <t xml:space="preserve">qc/readiness-v2.md</t>
  </si>
  <si>
    <t xml:space="preserve">Danh sách việc còn lại rõ</t>
  </si>
  <si>
    <t xml:space="preserve">Review + Retro + báo cáo steering</t>
  </si>
  <si>
    <t xml:space="preserve">Review + retro + steering report</t>
  </si>
  <si>
    <t xml:space="preserve">reports/sprint-25.md</t>
  </si>
  <si>
    <t xml:space="preserve">Steering đồng ý lịch phát hành</t>
  </si>
  <si>
    <t xml:space="preserve">Planning; kế hoạch phát hành v2</t>
  </si>
  <si>
    <t xml:space="preserve">Planning; v2 release plan</t>
  </si>
  <si>
    <t xml:space="preserve">launch/v2-plan.md</t>
  </si>
  <si>
    <t xml:space="preserve">Có lịch canary và rollback</t>
  </si>
  <si>
    <t xml:space="preserve">Phát hành v2.0 (canary)</t>
  </si>
  <si>
    <t xml:space="preserve">Release v2.0 (canary)</t>
  </si>
  <si>
    <t xml:space="preserve">release tag v2.0</t>
  </si>
  <si>
    <t xml:space="preserve">Theo dõi sau phát hành + hypercare ngắn</t>
  </si>
  <si>
    <t xml:space="preserve">Post-release watch + short hypercare</t>
  </si>
  <si>
    <t xml:space="preserve">sre/v2-watch.md</t>
  </si>
  <si>
    <t xml:space="preserve">Lessons learned toàn dự án</t>
  </si>
  <si>
    <t xml:space="preserve">Project-wide lessons learned</t>
  </si>
  <si>
    <t xml:space="preserve">docs/lessons-learned.md</t>
  </si>
  <si>
    <t xml:space="preserve">Mỗi phase có giữ/bỏ/thử</t>
  </si>
  <si>
    <t xml:space="preserve">Closure report: baseline vs thực tế (phạm vi, tiến độ, chi phí)</t>
  </si>
  <si>
    <t xml:space="preserve">Closure report: baseline vs actual (scope, schedule, cost)</t>
  </si>
  <si>
    <t xml:space="preserve">docs/closure-report.md</t>
  </si>
  <si>
    <t xml:space="preserve">Có số liệu từ file Excel này</t>
  </si>
  <si>
    <t xml:space="preserve">Decommission plan: xuất dữ liệu cho người dùng, xóa an toàn, thông báo</t>
  </si>
  <si>
    <t xml:space="preserve">Decommission plan: user export, secure deletion, notices</t>
  </si>
  <si>
    <t xml:space="preserve">regulatory/decommission.md</t>
  </si>
  <si>
    <t xml:space="preserve">Kế hoạch bảo trì năm 2 (patch, nâng cấp, rà soát định kỳ)</t>
  </si>
  <si>
    <t xml:space="preserve">Year-2 maintenance plan (patching, upgrades, periodic reviews)</t>
  </si>
  <si>
    <t xml:space="preserve">sre/maintenance-y2.md</t>
  </si>
  <si>
    <t xml:space="preserve">Lịch định kỳ đầy đủ</t>
  </si>
  <si>
    <t xml:space="preserve">Roadmap năm 2 (Da liễu, Mắt/TMH, X-quang răng…)</t>
  </si>
  <si>
    <t xml:space="preserve">Year-2 roadmap (Dermatology, Eye/ENT, dental X-ray…)</t>
  </si>
  <si>
    <t xml:space="preserve">product/roadmap-y2.md</t>
  </si>
  <si>
    <t xml:space="preserve">Ưu tiên bằng RICE</t>
  </si>
  <si>
    <t xml:space="preserve">Portfolio: case study + video demo</t>
  </si>
  <si>
    <t xml:space="preserve">Portfolio: case study + demo video</t>
  </si>
  <si>
    <t xml:space="preserve">portfolio/</t>
  </si>
  <si>
    <t xml:space="preserve">Không chứa dữ liệu thật</t>
  </si>
  <si>
    <t xml:space="preserve">Cổng G6 + họp steering; Retro cuối năm</t>
  </si>
  <si>
    <t xml:space="preserve">Gate G6 + steering meeting; year-end retro</t>
  </si>
  <si>
    <t xml:space="preserve">gates/G6.md</t>
  </si>
  <si>
    <t xml:space="preserve">Tiêu chí G6 đạt</t>
  </si>
  <si>
    <t xml:space="preserve">14 cổng chất lượng / Quality gates</t>
  </si>
  <si>
    <t xml:space="preserve">G0–G4: cổng gốc (mục 5). G0-R, G1-D, G2-CS, G3-P, G5-H: cổng bổ sung (mục 22.4). G5, G6: phát hành v1.5, v2.0.</t>
  </si>
  <si>
    <t xml:space="preserve">Tiêu chí (VI)</t>
  </si>
  <si>
    <t xml:space="preserve">Criteria (EN)</t>
  </si>
  <si>
    <t xml:space="preserve">Bằng chứng</t>
  </si>
  <si>
    <t xml:space="preserve">Người duyệt (role)</t>
  </si>
  <si>
    <t xml:space="preserve">Ngày quyết định</t>
  </si>
  <si>
    <t xml:space="preserve">G0</t>
  </si>
  <si>
    <t xml:space="preserve">Discovery Go/No-Go</t>
  </si>
  <si>
    <t xml:space="preserve">Product Brief, BRD v1, prototype được duyệt; phạm vi MVP 3 Unit khóa bằng MoSCoW</t>
  </si>
  <si>
    <t xml:space="preserve">Product brief, BRD v1 and prototype approved; MVP scope locked to 3 Units (MoSCoW)</t>
  </si>
  <si>
    <t xml:space="preserve">gates/G0.md, BRD-v1, prototype link</t>
  </si>
  <si>
    <t xml:space="preserve">PM + QC</t>
  </si>
  <si>
    <t xml:space="preserve">Chưa đến</t>
  </si>
  <si>
    <t xml:space="preserve">G0-R</t>
  </si>
  <si>
    <t xml:space="preserve">Regulatory</t>
  </si>
  <si>
    <t xml:space="preserve">Intended Use Statement + Regulatory Decision Record được duyệt; danh sách từ cấm trong claims</t>
  </si>
  <si>
    <t xml:space="preserve">Intended Use Statement + Regulatory Decision Record approved; forbidden-claims list</t>
  </si>
  <si>
    <t xml:space="preserve">regulatory/intended-use.md, RDR-001</t>
  </si>
  <si>
    <t xml:space="preserve">Kiến trúc sẵn sàng</t>
  </si>
  <si>
    <t xml:space="preserve">Architecture ready</t>
  </si>
  <si>
    <t xml:space="preserve">ADR chốt, CI xanh, 1 tài liệu chạy trọn pipeline trên staging, threat model v1</t>
  </si>
  <si>
    <t xml:space="preserve">ADRs final, CI green, one document end-to-end on staging, threat model v1</t>
  </si>
  <si>
    <t xml:space="preserve">gates/G1.md, CI run, staging trace</t>
  </si>
  <si>
    <t xml:space="preserve">SA + QC</t>
  </si>
  <si>
    <t xml:space="preserve">Data licence (lần 1: dữ liệu đánh giá)</t>
  </si>
  <si>
    <t xml:space="preserve">Data licence (round 1: evaluation data)</t>
  </si>
  <si>
    <t xml:space="preserve">Checklist 25.6 đạt cho golden set và dữ liệu synthetic: license, Dataset Card, checksum, không rò rỉ</t>
  </si>
  <si>
    <t xml:space="preserve">Checklist 25.6 passed for golden set and synthetic data: licence, Dataset Card, checksum, no leakage</t>
  </si>
  <si>
    <t xml:space="preserve">license-register.csv, dataset cards</t>
  </si>
  <si>
    <t xml:space="preserve">DC + REG</t>
  </si>
  <si>
    <t xml:space="preserve">Feature complete</t>
  </si>
  <si>
    <t xml:space="preserve">Mọi mục Must xong; F1 trích xuất ≥ 0,80 trên golden set 600 mẫu; region accuracy ≥ 0,85</t>
  </si>
  <si>
    <t xml:space="preserve">All Must items done; extraction F1 ≥ 0.80 on 600-doc golden set; region accuracy ≥ 0.85</t>
  </si>
  <si>
    <t xml:space="preserve">evaluation report, backlog</t>
  </si>
  <si>
    <t xml:space="preserve">Clinical safety</t>
  </si>
  <si>
    <t xml:space="preserve">Hazard log không còn rủi ro không chấp nhận được; Clinical Safety Case được ký</t>
  </si>
  <si>
    <t xml:space="preserve">No unacceptable risk left in hazard log; Clinical Safety Case signed</t>
  </si>
  <si>
    <t xml:space="preserve">safety/CSC.md, hazard-log</t>
  </si>
  <si>
    <t xml:space="preserve">G3</t>
  </si>
  <si>
    <t xml:space="preserve">Release gate</t>
  </si>
  <si>
    <t xml:space="preserve">0 lỗ hổng High, 0 bug S1/S2, SLO đạt trên staging, Security Evidence Pack đầy đủ</t>
  </si>
  <si>
    <t xml:space="preserve">0 High vulnerabilities, 0 S1/S2 bugs, SLOs met on staging, complete Security Evidence Pack</t>
  </si>
  <si>
    <t xml:space="preserve">release_gate.py output, readiness report</t>
  </si>
  <si>
    <t xml:space="preserve">G3-P</t>
  </si>
  <si>
    <t xml:space="preserve">External pentest</t>
  </si>
  <si>
    <t xml:space="preserve">Pentest độc lập: không còn High/Critical; báo cáo lưu hồ sơ; điều kiện để nhận dữ liệu thật</t>
  </si>
  <si>
    <t xml:space="preserve">Independent pentest: no High/Critical open; report archived; prerequisite for real data</t>
  </si>
  <si>
    <t xml:space="preserve">pentest report, retest</t>
  </si>
  <si>
    <t xml:space="preserve">Launch review</t>
  </si>
  <si>
    <t xml:space="preserve">Metric beta đạt; Go/No-Go ghi biên bản; post-launch retro</t>
  </si>
  <si>
    <t xml:space="preserve">Beta metrics met; Go/No-Go minuted; post-launch retro</t>
  </si>
  <si>
    <t xml:space="preserve">gates/G4.md, beta report</t>
  </si>
  <si>
    <t xml:space="preserve">Hypercare exit</t>
  </si>
  <si>
    <t xml:space="preserve">Không có S1/S2 mới trong 2 tuần, SLO đạt, backlog hỗ trợ ổn định</t>
  </si>
  <si>
    <t xml:space="preserve">No new S1/S2 for 2 weeks, SLOs met, support backlog stable</t>
  </si>
  <si>
    <t xml:space="preserve">hypercare report</t>
  </si>
  <si>
    <t xml:space="preserve">SUP + SRE</t>
  </si>
  <si>
    <t xml:space="preserve">Release v1.5</t>
  </si>
  <si>
    <t xml:space="preserve">Release gate cho bản v1.5: import số, 2 Unit mới, template, cascade; bảo mật đã rà soát</t>
  </si>
  <si>
    <t xml:space="preserve">Release gate for v1.5: digital import, 2 new Units, templates, cascade; security reviewed</t>
  </si>
  <si>
    <t xml:space="preserve">readiness report v1.5</t>
  </si>
  <si>
    <t xml:space="preserve">Regulatory — tái đánh giá cho CT</t>
  </si>
  <si>
    <t xml:space="preserve">Regulatory — re-assessment for CT</t>
  </si>
  <si>
    <t xml:space="preserve">RDR cập nhật cho CT; xác nhận BR-042 (chỉ dựng giải phẫu minh họa); ý kiến chuyên gia nếu cần</t>
  </si>
  <si>
    <t xml:space="preserve">RDR updated for CT; BR-042 confirmed (illustrative anatomy only); expert advice if needed</t>
  </si>
  <si>
    <t xml:space="preserve">RDR-002</t>
  </si>
  <si>
    <t xml:space="preserve">REG + CSO</t>
  </si>
  <si>
    <t xml:space="preserve">Data licence (lần 2: trước fine-tune)</t>
  </si>
  <si>
    <t xml:space="preserve">Data licence (round 2: before fine-tuning)</t>
  </si>
  <si>
    <t xml:space="preserve">Checklist 25.6 đạt cho dữ liệu huấn luyện/distill: quyền huấn luyện và dùng model trong sản phẩm</t>
  </si>
  <si>
    <t xml:space="preserve">Checklist 25.6 passed for training/distillation data incl. right to train and to ship the model</t>
  </si>
  <si>
    <t xml:space="preserve">dataset registry, licence review</t>
  </si>
  <si>
    <t xml:space="preserve">Release v2.0</t>
  </si>
  <si>
    <t xml:space="preserve">Release gate v2: xác thực lâm sàng CT, pentest delta sạch, registration error &lt; 15 mm, chi phí trong ngân sách</t>
  </si>
  <si>
    <t xml:space="preserve">v2 release gate: CT clinical validation, clean delta pentest, registration error &lt; 15 mm, cost within budget</t>
  </si>
  <si>
    <t xml:space="preserve">readiness report v2, closure report</t>
  </si>
  <si>
    <t xml:space="preserve">QC + steering</t>
  </si>
  <si>
    <t xml:space="preserve">Role và skill / Roles and skills</t>
  </si>
  <si>
    <t xml:space="preserve">22 role (13 role gốc + 9 role bổ sung ở mục 23). Cột Skill là tên skill agent cần gọi. ★ = cần người thật trước dữ liệu thật/ra mắt.</t>
  </si>
  <si>
    <t xml:space="preserve">Mã</t>
  </si>
  <si>
    <t xml:space="preserve">Role (VI)</t>
  </si>
  <si>
    <t xml:space="preserve">Role (EN)</t>
  </si>
  <si>
    <t xml:space="preserve">Skill</t>
  </si>
  <si>
    <t xml:space="preserve">Cần người thật?</t>
  </si>
  <si>
    <t xml:space="preserve">Số ngày</t>
  </si>
  <si>
    <t xml:space="preserve">Tỷ trọng giờ</t>
  </si>
  <si>
    <t xml:space="preserve">Product/Project Manager (PO, Scrum Master, Delivery)</t>
  </si>
  <si>
    <t xml:space="preserve">medilens-product-manager</t>
  </si>
  <si>
    <t xml:space="preserve">Business Analyst</t>
  </si>
  <si>
    <t xml:space="preserve">medilens-business-analyst</t>
  </si>
  <si>
    <t xml:space="preserve">UX/UI Designer</t>
  </si>
  <si>
    <t xml:space="preserve">medilens-ux-ui-designer</t>
  </si>
  <si>
    <t xml:space="preserve">Solution Architect</t>
  </si>
  <si>
    <t xml:space="preserve">medilens-solution-architect</t>
  </si>
  <si>
    <t xml:space="preserve">AI/ML Engineer (OCR, CV, LLM)</t>
  </si>
  <si>
    <t xml:space="preserve">medilens-ai-ml-engineer</t>
  </si>
  <si>
    <t xml:space="preserve">Data Engineer</t>
  </si>
  <si>
    <t xml:space="preserve">medilens-data-engineer</t>
  </si>
  <si>
    <t xml:space="preserve">Backend Engineer</t>
  </si>
  <si>
    <t xml:space="preserve">medilens-backend-engineer</t>
  </si>
  <si>
    <t xml:space="preserve">Frontend Engineer (viewer 3D/2D)</t>
  </si>
  <si>
    <t xml:space="preserve">Frontend Engineer (3D/2D viewer)</t>
  </si>
  <si>
    <t xml:space="preserve">medilens-frontend-engineer</t>
  </si>
  <si>
    <t xml:space="preserve">Cloud/DevOps Engineer (+ FinOps hạ tầng)</t>
  </si>
  <si>
    <t xml:space="preserve">Cloud/DevOps Engineer (+ infra FinOps)</t>
  </si>
  <si>
    <t xml:space="preserve">medilens-cloud-devops-engineer</t>
  </si>
  <si>
    <t xml:space="preserve">Security Engineer</t>
  </si>
  <si>
    <t xml:space="preserve">medilens-security-engineer</t>
  </si>
  <si>
    <t xml:space="preserve">Pentest độc lập trước G3-P</t>
  </si>
  <si>
    <t xml:space="preserve">QA Engineer</t>
  </si>
  <si>
    <t xml:space="preserve">medilens-qa-engineer</t>
  </si>
  <si>
    <t xml:space="preserve">QC / Release Gatekeeper</t>
  </si>
  <si>
    <t xml:space="preserve">medilens-qc-release-gatekeeper</t>
  </si>
  <si>
    <t xml:space="preserve">SRE / Vận hành &amp; bảo trì</t>
  </si>
  <si>
    <t xml:space="preserve">SRE / Operations &amp; maintenance</t>
  </si>
  <si>
    <t xml:space="preserve">medilens-sre-operations</t>
  </si>
  <si>
    <t xml:space="preserve">★ Clinical Safety Officer (bác sĩ cố vấn)</t>
  </si>
  <si>
    <t xml:space="preserve">★ Clinical Safety Officer (clinical advisor)</t>
  </si>
  <si>
    <t xml:space="preserve">medilens-clinical-safety-officer</t>
  </si>
  <si>
    <t xml:space="preserve">Có — bác sĩ cố vấn ký G2-CS</t>
  </si>
  <si>
    <t xml:space="preserve">★ Regulatory, Privacy &amp; Legal (DPO)</t>
  </si>
  <si>
    <t xml:space="preserve">medilens-regulatory-privacy-officer</t>
  </si>
  <si>
    <t xml:space="preserve">Có — tư vấn luật trước dữ liệu thật</t>
  </si>
  <si>
    <t xml:space="preserve">Clinical Informaticist (FHIR, ICD-10, LOINC, DICOM)</t>
  </si>
  <si>
    <t xml:space="preserve">medilens-clinical-informaticist</t>
  </si>
  <si>
    <t xml:space="preserve">★ Data Curator &amp; Annotation Lead</t>
  </si>
  <si>
    <t xml:space="preserve">medilens-data-curator</t>
  </si>
  <si>
    <t xml:space="preserve">Có — người gán nhãn có chuyên môn</t>
  </si>
  <si>
    <t xml:space="preserve">MLOps Engineer (+ FinOps token)</t>
  </si>
  <si>
    <t xml:space="preserve">MLOps Engineer (+ token FinOps)</t>
  </si>
  <si>
    <t xml:space="preserve">medilens-mlops-engineer</t>
  </si>
  <si>
    <t xml:space="preserve">Medical Imaging Engineer (CT/DICOM)</t>
  </si>
  <si>
    <t xml:space="preserve">medilens-medical-imaging-engineer</t>
  </si>
  <si>
    <t xml:space="preserve">3D Medical Artist</t>
  </si>
  <si>
    <t xml:space="preserve">medilens-3d-medical-artist</t>
  </si>
  <si>
    <t xml:space="preserve">Technical Writer &amp; Localization</t>
  </si>
  <si>
    <t xml:space="preserve">medilens-technical-writer</t>
  </si>
  <si>
    <t xml:space="preserve">Support &amp; Customer Success</t>
  </si>
  <si>
    <t xml:space="preserve">medilens-support-success</t>
  </si>
  <si>
    <t xml:space="preserve">Tổng</t>
  </si>
  <si>
    <t xml:space="preserve">Việc định kỳ / Recurring work</t>
  </si>
  <si>
    <t xml:space="preserve">Không chiếm dòng riêng trong Daily Plan; làm kèm việc chính của ngày. Ngày bắt đầu lấy từ sprint tương ứng.</t>
  </si>
  <si>
    <t xml:space="preserve">Tần suất</t>
  </si>
  <si>
    <t xml:space="preserve">Cadence</t>
  </si>
  <si>
    <t xml:space="preserve">Bắt đầu từ sprint</t>
  </si>
  <si>
    <t xml:space="preserve">Hằng ngày</t>
  </si>
  <si>
    <t xml:space="preserve">Daily</t>
  </si>
  <si>
    <t xml:space="preserve">Daily note 5 phút: hôm qua / hôm nay / vướng mắc</t>
  </si>
  <si>
    <t xml:space="preserve">5-min daily note: yesterday / today / blockers</t>
  </si>
  <si>
    <t xml:space="preserve">Ngày 1 mỗi sprint</t>
  </si>
  <si>
    <t xml:space="preserve">Sprint day 1</t>
  </si>
  <si>
    <t xml:space="preserve">Sprint Planning 1 giờ: chọn story, viết Sprint Goal</t>
  </si>
  <si>
    <t xml:space="preserve">1-h Sprint Planning: pick stories, write Sprint Goal</t>
  </si>
  <si>
    <t xml:space="preserve">Ngày 5 mỗi sprint</t>
  </si>
  <si>
    <t xml:space="preserve">Sprint day 5</t>
  </si>
  <si>
    <t xml:space="preserve">Backlog refinement 1 giờ cho sprint sau</t>
  </si>
  <si>
    <t xml:space="preserve">1-h backlog refinement for next sprint</t>
  </si>
  <si>
    <t xml:space="preserve">Ngày 10 mỗi sprint</t>
  </si>
  <si>
    <t xml:space="preserve">Sprint day 10</t>
  </si>
  <si>
    <t xml:space="preserve">Review (video ≤ 5 phút) + Retro + cập nhật risk register</t>
  </si>
  <si>
    <t xml:space="preserve">Review (≤ 5-min video) + retro + risk register update</t>
  </si>
  <si>
    <t xml:space="preserve">Hằng tuần</t>
  </si>
  <si>
    <t xml:space="preserve">Weekly</t>
  </si>
  <si>
    <t xml:space="preserve">Xem chi phí AWS và token; xử lý cảnh báo ngân sách</t>
  </si>
  <si>
    <t xml:space="preserve">Review AWS and token cost; act on budget alerts</t>
  </si>
  <si>
    <t xml:space="preserve">Xem cảnh báo GuardDuty/Security Hub, dependency có CVE</t>
  </si>
  <si>
    <t xml:space="preserve">Review GuardDuty/Security Hub findings and CVE dependencies</t>
  </si>
  <si>
    <t xml:space="preserve">Theo dõi drift: loại tài liệu, chất lượng ảnh, tỉ lệ sửa</t>
  </si>
  <si>
    <t xml:space="preserve">Drift check: document mix, image quality, correction rate</t>
  </si>
  <si>
    <t xml:space="preserve">Hằng tháng</t>
  </si>
  <si>
    <t xml:space="preserve">Monthly</t>
  </si>
  <si>
    <t xml:space="preserve">Báo cáo steering (Done / Next / Rủi ro / Quyết định cần)</t>
  </si>
  <si>
    <t xml:space="preserve">Steering report (Done / Next / Risks / Decisions needed)</t>
  </si>
  <si>
    <t xml:space="preserve">Test khôi phục backup ngẫu nhiên</t>
  </si>
  <si>
    <t xml:space="preserve">Random backup restore test</t>
  </si>
  <si>
    <t xml:space="preserve">Patch/upgrade dependency, image nền, Terraform provider</t>
  </si>
  <si>
    <t xml:space="preserve">Patch/upgrade dependencies, base images, Terraform providers</t>
  </si>
  <si>
    <t xml:space="preserve">Rà soát quyền IAM và truy cập break-glass</t>
  </si>
  <si>
    <t xml:space="preserve">Review IAM permissions and break-glass use</t>
  </si>
  <si>
    <t xml:space="preserve">Hằng quý</t>
  </si>
  <si>
    <t xml:space="preserve">Quarterly</t>
  </si>
  <si>
    <t xml:space="preserve">Rà soát License Register</t>
  </si>
  <si>
    <t xml:space="preserve">License Register review</t>
  </si>
  <si>
    <t xml:space="preserve">Làm mới golden set 10–20% (giữ lõi cố định)</t>
  </si>
  <si>
    <t xml:space="preserve">Refresh 10–20% of golden set (keep fixed core)</t>
  </si>
  <si>
    <t xml:space="preserve">Bake-off model + cập nhật Model Card</t>
  </si>
  <si>
    <t xml:space="preserve">Model bake-off + Model Card update</t>
  </si>
  <si>
    <t xml:space="preserve">Rà soát threat model và hazard log</t>
  </si>
  <si>
    <t xml:space="preserve">Threat model and hazard log review</t>
  </si>
  <si>
    <t xml:space="preserve">Rà soát nội dung KnowledgeArticle quá hạn</t>
  </si>
  <si>
    <t xml:space="preserve">Review overdue KnowledgeArticles</t>
  </si>
  <si>
    <t xml:space="preserve">6 tháng</t>
  </si>
  <si>
    <t xml:space="preserve">Every 6 months</t>
  </si>
  <si>
    <t xml:space="preserve">Tabletop sự cố bảo mật</t>
  </si>
  <si>
    <t xml:space="preserve">Security incident tabletop</t>
  </si>
  <si>
    <t xml:space="preserve">DR drill</t>
  </si>
  <si>
    <t xml:space="preserve">Hằng năm</t>
  </si>
  <si>
    <t xml:space="preserve">Yearly</t>
  </si>
  <si>
    <t xml:space="preserve">Pentest độc lập</t>
  </si>
  <si>
    <t xml:space="preserve">Independent pentest</t>
  </si>
  <si>
    <t xml:space="preserve">Rà soát RDR, DPIA, điều khoản</t>
  </si>
  <si>
    <t xml:space="preserve">Review RDR, DPIA, terms</t>
  </si>
  <si>
    <t xml:space="preserve">Ngày nghỉ lễ / Public holidays</t>
  </si>
  <si>
    <t xml:space="preserve">Lịch cán bộ, công chức. Thêm/bớt ngày ở các ô vàng (A5:A40); WORKDAY trong Daily Plan dùng vùng này.</t>
  </si>
  <si>
    <t xml:space="preserve">Nguồn / Source</t>
  </si>
  <si>
    <t xml:space="preserve">Ngày Văn hóa Việt Nam</t>
  </si>
  <si>
    <t xml:space="preserve">Vietnam Culture Day</t>
  </si>
  <si>
    <t xml:space="preserve">Nghị quyết 28/2026/QH16, hiệu lực 01/07/2026</t>
  </si>
  <si>
    <t xml:space="preserve">Tết Dương lịch</t>
  </si>
  <si>
    <t xml:space="preserve">New Year's Day</t>
  </si>
  <si>
    <t xml:space="preserve">Bộ luật Lao động 2019</t>
  </si>
  <si>
    <t xml:space="preserve">Tết Nguyên đán (nghỉ 04–10/02/2027)</t>
  </si>
  <si>
    <t xml:space="preserve">Lunar New Year break</t>
  </si>
  <si>
    <t xml:space="preserve">Thông báo Bộ Nội vụ, áp dụng cán bộ công chức</t>
  </si>
  <si>
    <t xml:space="preserve">Tết Nguyên đán</t>
  </si>
  <si>
    <t xml:space="preserve">Thông báo Bộ Nội vụ</t>
  </si>
  <si>
    <t xml:space="preserve">Giỗ Tổ Hùng Vương (10/3 âm lịch)</t>
  </si>
  <si>
    <t xml:space="preserve">Hung Kings' Commemoration</t>
  </si>
  <si>
    <t xml:space="preserve">Lịch âm 2027</t>
  </si>
  <si>
    <t xml:space="preserve">Ngày Giải phóng miền Nam</t>
  </si>
  <si>
    <t xml:space="preserve">Reunification Day</t>
  </si>
  <si>
    <t xml:space="preserve">Quốc tế Lao động (thứ Bảy)</t>
  </si>
  <si>
    <t xml:space="preserve">Labour Day (Saturday)</t>
  </si>
  <si>
    <t xml:space="preserve">Quốc khánh</t>
  </si>
  <si>
    <t xml:space="preserve">National Day</t>
  </si>
  <si>
    <t xml:space="preserve">Quốc khánh (ngày liền kề)</t>
  </si>
  <si>
    <t xml:space="preserve">National Day (adjacent day)</t>
  </si>
  <si>
    <t xml:space="preserve">Thông báo Bộ Nội vụ cho 2027</t>
  </si>
  <si>
    <t xml:space="preserve">Nhật ký thay đổi baseline / Change log</t>
  </si>
  <si>
    <t xml:space="preserve">Ghi mọi thay đổi phạm vi/tiến độ/chi phí trước khi sửa Daily Plan. Dòng 4 là ví dụ định dạng — có thể xóa.</t>
  </si>
  <si>
    <t xml:space="preserve">Mã CR</t>
  </si>
  <si>
    <t xml:space="preserve">Ngày</t>
  </si>
  <si>
    <t xml:space="preserve">Thay đổi</t>
  </si>
  <si>
    <t xml:space="preserve">Lý do</t>
  </si>
  <si>
    <t xml:space="preserve">Ảnh hưởng phạm vi</t>
  </si>
  <si>
    <t xml:space="preserve">Ảnh hưởng tiến độ (ngày)</t>
  </si>
  <si>
    <t xml:space="preserve">Ảnh hưởng chi phí (USD)</t>
  </si>
  <si>
    <t xml:space="preserve">Sprint bị ảnh hưởng</t>
  </si>
  <si>
    <t xml:space="preserve">CR-000 (ví dụ)</t>
  </si>
  <si>
    <t xml:space="preserve">Dời 'Hướng dẫn chụp bệnh án' từ S06 sang S07</t>
  </si>
  <si>
    <t xml:space="preserve">Ưu tiên sửa OCR cho ảnh điện thoại</t>
  </si>
  <si>
    <t xml:space="preserve">Không đổi</t>
  </si>
  <si>
    <t xml:space="preserve">S06, S07</t>
  </si>
  <si>
    <t xml:space="preserve">Ví dụ</t>
  </si>
</sst>
</file>

<file path=xl/styles.xml><?xml version="1.0" encoding="utf-8"?>
<styleSheet xmlns="http://schemas.openxmlformats.org/spreadsheetml/2006/main">
  <numFmts count="12">
    <numFmt numFmtId="164" formatCode="General"/>
    <numFmt numFmtId="165" formatCode="dd/mm/yyyy"/>
    <numFmt numFmtId="166" formatCode="General"/>
    <numFmt numFmtId="167" formatCode="0%"/>
    <numFmt numFmtId="168" formatCode="ddd\ dd/mm/yyyy"/>
    <numFmt numFmtId="169" formatCode="@"/>
    <numFmt numFmtId="170" formatCode="0"/>
    <numFmt numFmtId="171" formatCode="0.0%"/>
    <numFmt numFmtId="172" formatCode="\+0.0%;\-0.0%;0.0%"/>
    <numFmt numFmtId="173" formatCode="#,##0"/>
    <numFmt numFmtId="174" formatCode="0.0"/>
    <numFmt numFmtId="175" formatCode="dd/mm"/>
  </numFmts>
  <fonts count="18">
    <font>
      <sz val="11"/>
      <color theme="1"/>
      <name val="Calibri"/>
      <family val="2"/>
      <charset val="1"/>
    </font>
    <font>
      <sz val="10"/>
      <name val="Arial"/>
      <family val="0"/>
    </font>
    <font>
      <sz val="10"/>
      <name val="Arial"/>
      <family val="0"/>
    </font>
    <font>
      <sz val="10"/>
      <name val="Arial"/>
      <family val="0"/>
    </font>
    <font>
      <b val="true"/>
      <sz val="15"/>
      <color rgb="FF1F4E5F"/>
      <name val="Arial"/>
      <family val="0"/>
      <charset val="1"/>
    </font>
    <font>
      <i val="true"/>
      <sz val="10"/>
      <color rgb="FF555555"/>
      <name val="Arial"/>
      <family val="0"/>
      <charset val="1"/>
    </font>
    <font>
      <b val="true"/>
      <sz val="11"/>
      <color rgb="FF1F4E5F"/>
      <name val="Arial"/>
      <family val="0"/>
      <charset val="1"/>
    </font>
    <font>
      <sz val="10"/>
      <name val="Arial"/>
      <family val="0"/>
      <charset val="1"/>
    </font>
    <font>
      <b val="true"/>
      <sz val="10"/>
      <color rgb="FFFFFFFF"/>
      <name val="Arial"/>
      <family val="0"/>
      <charset val="1"/>
    </font>
    <font>
      <b val="true"/>
      <sz val="11"/>
      <color rgb="FF008000"/>
      <name val="Arial"/>
      <family val="0"/>
      <charset val="1"/>
    </font>
    <font>
      <sz val="10"/>
      <color rgb="FF008000"/>
      <name val="Arial"/>
      <family val="0"/>
      <charset val="1"/>
    </font>
    <font>
      <sz val="10"/>
      <color rgb="FF0000FF"/>
      <name val="Arial"/>
      <family val="0"/>
      <charset val="1"/>
    </font>
    <font>
      <sz val="10"/>
      <name val="Arial"/>
      <family val="2"/>
    </font>
    <font>
      <b val="true"/>
      <sz val="10"/>
      <name val="Arial"/>
      <family val="0"/>
      <charset val="1"/>
    </font>
    <font>
      <sz val="7"/>
      <color rgb="FF008000"/>
      <name val="Arial"/>
      <family val="0"/>
      <charset val="1"/>
    </font>
    <font>
      <b val="true"/>
      <sz val="9"/>
      <color rgb="FF4A148C"/>
      <name val="Arial"/>
      <family val="0"/>
      <charset val="1"/>
    </font>
    <font>
      <sz val="9"/>
      <color rgb="FF1F4E5F"/>
      <name val="Arial"/>
      <family val="0"/>
      <charset val="1"/>
    </font>
    <font>
      <i val="true"/>
      <sz val="10"/>
      <color rgb="FF7F7F7F"/>
      <name val="Arial"/>
      <family val="0"/>
      <charset val="1"/>
    </font>
  </fonts>
  <fills count="19">
    <fill>
      <patternFill patternType="none"/>
    </fill>
    <fill>
      <patternFill patternType="gray125"/>
    </fill>
    <fill>
      <patternFill patternType="solid">
        <fgColor rgb="FF1F4E5F"/>
        <bgColor rgb="FF333333"/>
      </patternFill>
    </fill>
    <fill>
      <patternFill patternType="solid">
        <fgColor rgb="FFF2F6F7"/>
        <bgColor rgb="FFF1F8E9"/>
      </patternFill>
    </fill>
    <fill>
      <patternFill patternType="solid">
        <fgColor rgb="FFE8EAF6"/>
        <bgColor rgb="FFEDE7F6"/>
      </patternFill>
    </fill>
    <fill>
      <patternFill patternType="solid">
        <fgColor rgb="FFE3F2FD"/>
        <bgColor rgb="FFE0F2F1"/>
      </patternFill>
    </fill>
    <fill>
      <patternFill patternType="solid">
        <fgColor rgb="FFE0F2F1"/>
        <bgColor rgb="FFE3F2FD"/>
      </patternFill>
    </fill>
    <fill>
      <patternFill patternType="solid">
        <fgColor rgb="FFFFF3E0"/>
        <bgColor rgb="FFFFF2CC"/>
      </patternFill>
    </fill>
    <fill>
      <patternFill patternType="solid">
        <fgColor rgb="FFFCE4EC"/>
        <bgColor rgb="FFEDE7F6"/>
      </patternFill>
    </fill>
    <fill>
      <patternFill patternType="solid">
        <fgColor rgb="FFF1F8E9"/>
        <bgColor rgb="FFF2F6F7"/>
      </patternFill>
    </fill>
    <fill>
      <patternFill patternType="solid">
        <fgColor rgb="FFEDE7F6"/>
        <bgColor rgb="FFE8EAF6"/>
      </patternFill>
    </fill>
    <fill>
      <patternFill patternType="solid">
        <fgColor rgb="FFFFF2CC"/>
        <bgColor rgb="FFFFF3E0"/>
      </patternFill>
    </fill>
    <fill>
      <patternFill patternType="solid">
        <fgColor rgb="FF9FA8DA"/>
        <bgColor rgb="FFB39DDB"/>
      </patternFill>
    </fill>
    <fill>
      <patternFill patternType="solid">
        <fgColor rgb="FF90CAF9"/>
        <bgColor rgb="FF80CBC4"/>
      </patternFill>
    </fill>
    <fill>
      <patternFill patternType="solid">
        <fgColor rgb="FF80CBC4"/>
        <bgColor rgb="FF90CAF9"/>
      </patternFill>
    </fill>
    <fill>
      <patternFill patternType="solid">
        <fgColor rgb="FFFFCC80"/>
        <bgColor rgb="FFFFCDD2"/>
      </patternFill>
    </fill>
    <fill>
      <patternFill patternType="solid">
        <fgColor rgb="FFF48FB1"/>
        <bgColor rgb="FFB39DDB"/>
      </patternFill>
    </fill>
    <fill>
      <patternFill patternType="solid">
        <fgColor rgb="FFC5E1A5"/>
        <bgColor rgb="FFC8E6C9"/>
      </patternFill>
    </fill>
    <fill>
      <patternFill patternType="solid">
        <fgColor rgb="FFB39DDB"/>
        <bgColor rgb="FF9FA8DA"/>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9" fontId="9" fillId="3"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6" fontId="10" fillId="8"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true" applyProtection="false">
      <alignment horizontal="general" vertical="top" textRotation="0" wrapText="true" indent="0" shrinkToFit="false"/>
      <protection locked="true" hidden="false"/>
    </xf>
    <xf numFmtId="171" fontId="9" fillId="3" borderId="1" xfId="0" applyFont="true" applyBorder="true" applyAlignment="true" applyProtection="false">
      <alignment horizontal="general" vertical="top" textRotation="0" wrapText="true" indent="0" shrinkToFit="false"/>
      <protection locked="true" hidden="false"/>
    </xf>
    <xf numFmtId="172" fontId="9" fillId="3" borderId="1" xfId="0" applyFont="true" applyBorder="true" applyAlignment="true" applyProtection="false">
      <alignment horizontal="general" vertical="top" textRotation="0" wrapText="true" indent="0" shrinkToFit="false"/>
      <protection locked="true" hidden="false"/>
    </xf>
    <xf numFmtId="173"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11" fillId="11" borderId="1" xfId="0" applyFont="true" applyBorder="true" applyAlignment="true" applyProtection="false">
      <alignment horizontal="general" vertical="top" textRotation="0" wrapText="true" indent="0" shrinkToFit="false"/>
      <protection locked="true" hidden="false"/>
    </xf>
    <xf numFmtId="174" fontId="11" fillId="11"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general" vertical="top" textRotation="0" wrapText="true" indent="0" shrinkToFit="false"/>
      <protection locked="true" hidden="false"/>
    </xf>
    <xf numFmtId="170" fontId="10" fillId="0" borderId="1" xfId="0" applyFont="true" applyBorder="true" applyAlignment="true" applyProtection="false">
      <alignment horizontal="general" vertical="top" textRotation="0" wrapText="true" indent="0" shrinkToFit="false"/>
      <protection locked="true" hidden="false"/>
    </xf>
    <xf numFmtId="173" fontId="10" fillId="0" borderId="1" xfId="0" applyFont="true" applyBorder="true" applyAlignment="true" applyProtection="false">
      <alignment horizontal="general" vertical="top" textRotation="0" wrapText="true" indent="0" shrinkToFit="false"/>
      <protection locked="true" hidden="false"/>
    </xf>
    <xf numFmtId="164" fontId="13" fillId="12"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13" fillId="13" borderId="1" xfId="0" applyFont="true" applyBorder="true" applyAlignment="true" applyProtection="false">
      <alignment horizontal="general" vertical="top" textRotation="0" wrapText="true" indent="0" shrinkToFit="false"/>
      <protection locked="true" hidden="false"/>
    </xf>
    <xf numFmtId="164" fontId="13" fillId="14" borderId="1" xfId="0" applyFont="true" applyBorder="true" applyAlignment="true" applyProtection="false">
      <alignment horizontal="general" vertical="top" textRotation="0" wrapText="true" indent="0" shrinkToFit="false"/>
      <protection locked="true" hidden="false"/>
    </xf>
    <xf numFmtId="164" fontId="13" fillId="15" borderId="1" xfId="0" applyFont="true" applyBorder="true" applyAlignment="true" applyProtection="false">
      <alignment horizontal="general" vertical="top" textRotation="0" wrapText="true" indent="0" shrinkToFit="false"/>
      <protection locked="true" hidden="false"/>
    </xf>
    <xf numFmtId="164" fontId="13" fillId="16" borderId="1" xfId="0" applyFont="true" applyBorder="true" applyAlignment="true" applyProtection="false">
      <alignment horizontal="general" vertical="top" textRotation="0" wrapText="true" indent="0" shrinkToFit="false"/>
      <protection locked="true" hidden="false"/>
    </xf>
    <xf numFmtId="164" fontId="13" fillId="17" borderId="1" xfId="0" applyFont="true" applyBorder="true" applyAlignment="true" applyProtection="false">
      <alignment horizontal="general" vertical="top" textRotation="0" wrapText="true" indent="0" shrinkToFit="false"/>
      <protection locked="true" hidden="false"/>
    </xf>
    <xf numFmtId="164" fontId="13" fillId="18"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7" fontId="13"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true" applyProtection="false">
      <alignment horizontal="center" vertical="bottom" textRotation="9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12" borderId="1" xfId="0" applyFont="true" applyBorder="true" applyAlignment="true" applyProtection="false">
      <alignment horizontal="center"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15" fillId="13" borderId="1" xfId="0" applyFont="true" applyBorder="true" applyAlignment="true" applyProtection="false">
      <alignment horizontal="center"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15" fillId="14" borderId="1" xfId="0" applyFont="true" applyBorder="true" applyAlignment="true" applyProtection="false">
      <alignment horizontal="center" vertical="bottom" textRotation="0" wrapText="fals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15" fillId="15" borderId="1" xfId="0" applyFont="true" applyBorder="true" applyAlignment="true" applyProtection="false">
      <alignment horizontal="center" vertical="bottom" textRotation="0" wrapText="false" indent="0" shrinkToFit="false"/>
      <protection locked="true" hidden="false"/>
    </xf>
    <xf numFmtId="164" fontId="0" fillId="16" borderId="1" xfId="0" applyFont="false" applyBorder="true" applyAlignment="false" applyProtection="false">
      <alignment horizontal="general" vertical="bottom" textRotation="0" wrapText="false" indent="0" shrinkToFit="false"/>
      <protection locked="true" hidden="false"/>
    </xf>
    <xf numFmtId="164" fontId="15" fillId="16" borderId="1" xfId="0" applyFont="true" applyBorder="true" applyAlignment="true" applyProtection="false">
      <alignment horizontal="center" vertical="bottom" textRotation="0" wrapText="false" indent="0" shrinkToFit="false"/>
      <protection locked="true" hidden="false"/>
    </xf>
    <xf numFmtId="164" fontId="0" fillId="17" borderId="1" xfId="0" applyFont="false" applyBorder="true" applyAlignment="false" applyProtection="false">
      <alignment horizontal="general" vertical="bottom" textRotation="0" wrapText="false" indent="0" shrinkToFit="false"/>
      <protection locked="true" hidden="false"/>
    </xf>
    <xf numFmtId="164" fontId="15" fillId="17" borderId="1" xfId="0" applyFont="true" applyBorder="true" applyAlignment="true" applyProtection="false">
      <alignment horizontal="center" vertical="bottom" textRotation="0" wrapText="false" indent="0" shrinkToFit="false"/>
      <protection locked="true" hidden="false"/>
    </xf>
    <xf numFmtId="164" fontId="0" fillId="18" borderId="1" xfId="0" applyFont="false" applyBorder="true" applyAlignment="false" applyProtection="false">
      <alignment horizontal="general" vertical="bottom" textRotation="0" wrapText="false" indent="0" shrinkToFit="false"/>
      <protection locked="true" hidden="false"/>
    </xf>
    <xf numFmtId="164" fontId="15" fillId="18" borderId="1" xfId="0" applyFont="true" applyBorder="true" applyAlignment="true" applyProtection="false">
      <alignment horizontal="center"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74" fontId="10" fillId="0" borderId="1" xfId="0" applyFont="true" applyBorder="true" applyAlignment="true" applyProtection="false">
      <alignment horizontal="center" vertical="top" textRotation="0" wrapText="true" indent="0" shrinkToFit="false"/>
      <protection locked="true" hidden="false"/>
    </xf>
    <xf numFmtId="174" fontId="11" fillId="11"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71" fontId="13" fillId="0"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general" vertical="top" textRotation="0" wrapText="true" indent="0" shrinkToFit="false"/>
      <protection locked="true" hidden="false"/>
    </xf>
    <xf numFmtId="168" fontId="11" fillId="11"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5" fontId="1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4E5F"/>
          <bgColor rgb="FF000000"/>
        </patternFill>
      </fill>
    </dxf>
    <dxf>
      <fill>
        <patternFill patternType="solid">
          <fgColor rgb="FFE1BEE7"/>
          <bgColor rgb="FF000000"/>
        </patternFill>
      </fill>
    </dxf>
    <dxf>
      <fill>
        <patternFill patternType="solid">
          <bgColor rgb="FF000000"/>
        </patternFill>
      </fill>
    </dxf>
    <dxf>
      <fill>
        <patternFill patternType="solid">
          <fgColor rgb="FFFFFFFF"/>
          <bgColor rgb="FF000000"/>
        </patternFill>
      </fill>
    </dxf>
    <dxf>
      <fill>
        <patternFill patternType="solid">
          <fgColor rgb="FFE0F2F1"/>
          <bgColor rgb="FF000000"/>
        </patternFill>
      </fill>
    </dxf>
    <dxf>
      <fill>
        <patternFill patternType="solid">
          <fgColor rgb="FFE3F2FD"/>
          <bgColor rgb="FF000000"/>
        </patternFill>
      </fill>
    </dxf>
    <dxf>
      <fill>
        <patternFill patternType="solid">
          <fgColor rgb="FFE8EAF6"/>
          <bgColor rgb="FF000000"/>
        </patternFill>
      </fill>
    </dxf>
    <dxf>
      <fill>
        <patternFill patternType="solid">
          <fgColor rgb="FFEDE7F6"/>
          <bgColor rgb="FF000000"/>
        </patternFill>
      </fill>
    </dxf>
    <dxf>
      <fill>
        <patternFill patternType="solid">
          <fgColor rgb="FFF1F8E9"/>
          <bgColor rgb="FF000000"/>
        </patternFill>
      </fill>
    </dxf>
    <dxf>
      <fill>
        <patternFill patternType="solid">
          <fgColor rgb="FFFCE4EC"/>
          <bgColor rgb="FF000000"/>
        </patternFill>
      </fill>
    </dxf>
    <dxf>
      <fill>
        <patternFill patternType="solid">
          <fgColor rgb="FFFFF3E0"/>
          <bgColor rgb="FF000000"/>
        </patternFill>
      </fill>
    </dxf>
    <dxf>
      <fill>
        <patternFill patternType="solid">
          <fgColor rgb="FF008000"/>
          <bgColor rgb="FF000000"/>
        </patternFill>
      </fill>
    </dxf>
    <dxf>
      <fill>
        <patternFill patternType="solid">
          <fgColor rgb="FFFFF2CC"/>
          <bgColor rgb="FF000000"/>
        </patternFill>
      </fill>
    </dxf>
    <dxf>
      <fill>
        <patternFill patternType="solid">
          <fgColor rgb="FF0000FF"/>
          <bgColor rgb="FF000000"/>
        </patternFill>
      </fill>
    </dxf>
    <dxf>
      <fill>
        <patternFill>
          <bgColor rgb="FFC8E6C9"/>
        </patternFill>
      </fill>
    </dxf>
    <dxf>
      <fill>
        <patternFill>
          <bgColor rgb="FFFFCDD2"/>
        </patternFill>
      </fill>
    </dxf>
    <dxf>
      <fill>
        <patternFill>
          <bgColor rgb="FFFFF59D"/>
        </patternFill>
      </fill>
    </dxf>
    <dxf>
      <font>
        <name val="Arial"/>
        <charset val="1"/>
        <family val="0"/>
        <b val="1"/>
      </font>
      <fill>
        <patternFill>
          <bgColor rgb="FFE1BEE7"/>
        </patternFill>
      </fill>
    </dxf>
  </dxfs>
  <colors>
    <indexedColors>
      <rgbColor rgb="FF000000"/>
      <rgbColor rgb="FFFFFFFF"/>
      <rgbColor rgb="FFFF0000"/>
      <rgbColor rgb="FF00FF00"/>
      <rgbColor rgb="FF0000FF"/>
      <rgbColor rgb="FFFFF3E0"/>
      <rgbColor rgb="FFFF00FF"/>
      <rgbColor rgb="FFF2F6F7"/>
      <rgbColor rgb="FF800000"/>
      <rgbColor rgb="FF008000"/>
      <rgbColor rgb="FF000080"/>
      <rgbColor rgb="FF808000"/>
      <rgbColor rgb="FF800080"/>
      <rgbColor rgb="FF008080"/>
      <rgbColor rgb="FFE1BEE7"/>
      <rgbColor rgb="FF7F7F7F"/>
      <rgbColor rgb="FF9FA8DA"/>
      <rgbColor rgb="FF993366"/>
      <rgbColor rgb="FFFFF2CC"/>
      <rgbColor rgb="FFE0F2F1"/>
      <rgbColor rgb="FF4A148C"/>
      <rgbColor rgb="FFFFCDD2"/>
      <rgbColor rgb="FF0066CC"/>
      <rgbColor rgb="FFD0D7DE"/>
      <rgbColor rgb="FF000080"/>
      <rgbColor rgb="FFFF00FF"/>
      <rgbColor rgb="FFF1F8E9"/>
      <rgbColor rgb="FF00FFFF"/>
      <rgbColor rgb="FF800080"/>
      <rgbColor rgb="FF800000"/>
      <rgbColor rgb="FF008080"/>
      <rgbColor rgb="FF0000FF"/>
      <rgbColor rgb="FF00CCFF"/>
      <rgbColor rgb="FFE3F2FD"/>
      <rgbColor rgb="FFC8E6C9"/>
      <rgbColor rgb="FFFFF59D"/>
      <rgbColor rgb="FF90CAF9"/>
      <rgbColor rgb="FFF48FB1"/>
      <rgbColor rgb="FFB39DDB"/>
      <rgbColor rgb="FFFFCC80"/>
      <rgbColor rgb="FF3366FF"/>
      <rgbColor rgb="FF80CBC4"/>
      <rgbColor rgb="FFC5E1A5"/>
      <rgbColor rgb="FFFCE4EC"/>
      <rgbColor rgb="FFE8EAF6"/>
      <rgbColor rgb="FFFF6600"/>
      <rgbColor rgb="FF555555"/>
      <rgbColor rgb="FFEDE7F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24"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row>
    <row r="6" customFormat="false" ht="15" hidden="false" customHeight="true" outlineLevel="0" collapsed="false">
      <c r="A6" s="4" t="s">
        <v>4</v>
      </c>
    </row>
    <row r="7" customFormat="false" ht="15" hidden="false" customHeight="false" outlineLevel="0" collapsed="false">
      <c r="A7" s="4"/>
    </row>
    <row r="8" customFormat="false" ht="15" hidden="false" customHeight="false" outlineLevel="0" collapsed="false">
      <c r="A8" s="3" t="s">
        <v>5</v>
      </c>
    </row>
    <row r="9" customFormat="false" ht="30" hidden="false" customHeight="true" outlineLevel="0" collapsed="false">
      <c r="A9" s="4" t="s">
        <v>6</v>
      </c>
    </row>
    <row r="10" customFormat="false" ht="30"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3" customFormat="false" ht="15" hidden="false" customHeight="true" outlineLevel="0" collapsed="false">
      <c r="A13" s="4" t="s">
        <v>10</v>
      </c>
    </row>
    <row r="14" customFormat="false" ht="30" hidden="false" customHeight="true" outlineLevel="0" collapsed="false">
      <c r="A14" s="4" t="s">
        <v>11</v>
      </c>
    </row>
    <row r="15" customFormat="false" ht="15" hidden="false" customHeight="false" outlineLevel="0" collapsed="false">
      <c r="A15" s="4"/>
    </row>
    <row r="16" customFormat="false" ht="15" hidden="false" customHeight="false" outlineLevel="0" collapsed="false">
      <c r="A16" s="3" t="s">
        <v>12</v>
      </c>
    </row>
    <row r="17" customFormat="false" ht="30" hidden="false" customHeight="true" outlineLevel="0" collapsed="false">
      <c r="A17" s="4" t="s">
        <v>13</v>
      </c>
    </row>
    <row r="18" customFormat="false" ht="15" hidden="false" customHeight="false" outlineLevel="0" collapsed="false">
      <c r="A18" s="4"/>
    </row>
    <row r="19" customFormat="false" ht="15" hidden="false" customHeight="false" outlineLevel="0" collapsed="false">
      <c r="A19" s="3" t="s">
        <v>14</v>
      </c>
    </row>
    <row r="20" customFormat="false" ht="15" hidden="false" customHeight="true" outlineLevel="0" collapsed="false">
      <c r="A20" s="4" t="s">
        <v>15</v>
      </c>
    </row>
    <row r="21" customFormat="false" ht="30" hidden="false" customHeight="true" outlineLevel="0" collapsed="false">
      <c r="A21" s="4" t="s">
        <v>16</v>
      </c>
    </row>
    <row r="22" customFormat="false" ht="30" hidden="false" customHeight="true" outlineLevel="0" collapsed="false">
      <c r="A22" s="4" t="s">
        <v>17</v>
      </c>
    </row>
    <row r="23" customFormat="false" ht="15" hidden="false" customHeight="true" outlineLevel="0" collapsed="false">
      <c r="A23" s="4" t="s">
        <v>18</v>
      </c>
    </row>
    <row r="24" customFormat="false" ht="30" hidden="false" customHeight="true" outlineLevel="0" collapsed="false">
      <c r="A24" s="4" t="s">
        <v>19</v>
      </c>
    </row>
    <row r="25" customFormat="false" ht="30" hidden="false" customHeight="true" outlineLevel="0" collapsed="false">
      <c r="A25" s="4" t="s">
        <v>20</v>
      </c>
    </row>
    <row r="26" customFormat="false" ht="15" hidden="false" customHeight="true" outlineLevel="0" collapsed="false">
      <c r="A26" s="4" t="s">
        <v>21</v>
      </c>
    </row>
    <row r="27" customFormat="false" ht="15" hidden="false" customHeight="false" outlineLevel="0" collapsed="false">
      <c r="A27" s="4"/>
    </row>
    <row r="28" customFormat="false" ht="15" hidden="false" customHeight="false" outlineLevel="0" collapsed="false">
      <c r="A28" s="3" t="s">
        <v>22</v>
      </c>
    </row>
    <row r="29" customFormat="false" ht="30" hidden="false" customHeight="true" outlineLevel="0" collapsed="false">
      <c r="A29" s="4" t="s">
        <v>23</v>
      </c>
    </row>
    <row r="30" customFormat="false" ht="15" hidden="false" customHeight="false" outlineLevel="0" collapsed="false">
      <c r="A30" s="4"/>
    </row>
    <row r="31" customFormat="false" ht="15" hidden="false" customHeight="false" outlineLevel="0" collapsed="false">
      <c r="A31" s="3" t="s">
        <v>24</v>
      </c>
    </row>
    <row r="32" customFormat="false" ht="30" hidden="false" customHeight="true" outlineLevel="0" collapsed="false">
      <c r="A32" s="4" t="s">
        <v>25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46"/>
    <col collapsed="false" customWidth="true" hidden="false" outlineLevel="0" max="4" min="4" style="0" width="2"/>
    <col collapsed="false" customWidth="true" hidden="false" outlineLevel="0" max="5" min="5" style="0" width="30"/>
    <col collapsed="false" customWidth="true" hidden="false" outlineLevel="0" max="7" min="6" style="0" width="12"/>
    <col collapsed="false" customWidth="true" hidden="false" outlineLevel="0" max="8" min="8" style="0" width="9"/>
    <col collapsed="false" customWidth="true" hidden="false" outlineLevel="0" max="9" min="9" style="0" width="8"/>
    <col collapsed="false" customWidth="true" hidden="false" outlineLevel="0" max="12" min="10" style="0" width="9"/>
  </cols>
  <sheetData>
    <row r="1" customFormat="false" ht="24" hidden="false" customHeight="true" outlineLevel="0" collapsed="false">
      <c r="A1" s="1" t="s">
        <v>26</v>
      </c>
    </row>
    <row r="2" customFormat="false" ht="15" hidden="false" customHeight="false" outlineLevel="0" collapsed="false">
      <c r="A2" s="2" t="s">
        <v>27</v>
      </c>
    </row>
    <row r="3" customFormat="false" ht="30" hidden="false" customHeight="true" outlineLevel="0" collapsed="false">
      <c r="A3" s="5" t="s">
        <v>28</v>
      </c>
      <c r="B3" s="5" t="s">
        <v>29</v>
      </c>
      <c r="C3" s="5" t="s">
        <v>30</v>
      </c>
      <c r="E3" s="5" t="s">
        <v>31</v>
      </c>
      <c r="F3" s="5" t="s">
        <v>32</v>
      </c>
      <c r="G3" s="5" t="s">
        <v>33</v>
      </c>
      <c r="H3" s="5" t="s">
        <v>34</v>
      </c>
      <c r="I3" s="5" t="s">
        <v>35</v>
      </c>
      <c r="J3" s="5" t="s">
        <v>36</v>
      </c>
      <c r="K3" s="5" t="s">
        <v>37</v>
      </c>
      <c r="L3" s="5" t="s">
        <v>38</v>
      </c>
    </row>
    <row r="4" customFormat="false" ht="15" hidden="false" customHeight="false" outlineLevel="0" collapsed="false">
      <c r="A4" s="6" t="s">
        <v>39</v>
      </c>
      <c r="B4" s="6" t="s">
        <v>40</v>
      </c>
      <c r="C4" s="7" t="n">
        <f aca="false">Settings!$C$4</f>
        <v>46314</v>
      </c>
      <c r="E4" s="8" t="str">
        <f aca="false">Roadmap!A4</f>
        <v>P0 · Khởi tạo &amp; Discovery</v>
      </c>
      <c r="F4" s="9" t="n">
        <f aca="false">Roadmap!G4</f>
        <v>46314</v>
      </c>
      <c r="G4" s="9" t="n">
        <f aca="false">Roadmap!H4</f>
        <v>46339</v>
      </c>
      <c r="H4" s="10" t="n">
        <f aca="false">Roadmap!M4</f>
        <v>20</v>
      </c>
      <c r="I4" s="10" t="n">
        <f aca="false">Roadmap!N4</f>
        <v>0</v>
      </c>
      <c r="J4" s="11" t="n">
        <f aca="false">Roadmap!O4</f>
        <v>0</v>
      </c>
      <c r="K4" s="10" t="n">
        <f aca="false">Roadmap!P4</f>
        <v>80</v>
      </c>
      <c r="L4" s="10" t="n">
        <f aca="false">Roadmap!Q4</f>
        <v>0</v>
      </c>
    </row>
    <row r="5" customFormat="false" ht="15" hidden="false" customHeight="false" outlineLevel="0" collapsed="false">
      <c r="A5" s="6" t="s">
        <v>41</v>
      </c>
      <c r="B5" s="6" t="s">
        <v>42</v>
      </c>
      <c r="C5" s="7" t="n">
        <f aca="false">Settings!$C$11</f>
        <v>46692</v>
      </c>
      <c r="E5" s="12" t="str">
        <f aca="false">Roadmap!A5</f>
        <v>P1 · Foundation</v>
      </c>
      <c r="F5" s="9" t="n">
        <f aca="false">Roadmap!G5</f>
        <v>46342</v>
      </c>
      <c r="G5" s="9" t="n">
        <f aca="false">Roadmap!H5</f>
        <v>46384</v>
      </c>
      <c r="H5" s="10" t="n">
        <f aca="false">Roadmap!M5</f>
        <v>30</v>
      </c>
      <c r="I5" s="10" t="n">
        <f aca="false">Roadmap!N5</f>
        <v>0</v>
      </c>
      <c r="J5" s="11" t="n">
        <f aca="false">Roadmap!O5</f>
        <v>0</v>
      </c>
      <c r="K5" s="10" t="n">
        <f aca="false">Roadmap!P5</f>
        <v>120</v>
      </c>
      <c r="L5" s="10" t="n">
        <f aca="false">Roadmap!Q5</f>
        <v>0</v>
      </c>
    </row>
    <row r="6" customFormat="false" ht="15" hidden="false" customHeight="false" outlineLevel="0" collapsed="false">
      <c r="A6" s="6" t="s">
        <v>43</v>
      </c>
      <c r="B6" s="6" t="s">
        <v>44</v>
      </c>
      <c r="C6" s="13" t="n">
        <f aca="true">TODAY()</f>
        <v>46311</v>
      </c>
      <c r="E6" s="14" t="str">
        <f aca="false">Roadmap!A6</f>
        <v>P2 · Build MVP</v>
      </c>
      <c r="F6" s="9" t="n">
        <f aca="false">Roadmap!G6</f>
        <v>46385</v>
      </c>
      <c r="G6" s="9" t="n">
        <f aca="false">Roadmap!H6</f>
        <v>46476</v>
      </c>
      <c r="H6" s="10" t="n">
        <f aca="false">Roadmap!M6</f>
        <v>60</v>
      </c>
      <c r="I6" s="10" t="n">
        <f aca="false">Roadmap!N6</f>
        <v>0</v>
      </c>
      <c r="J6" s="11" t="n">
        <f aca="false">Roadmap!O6</f>
        <v>0</v>
      </c>
      <c r="K6" s="10" t="n">
        <f aca="false">Roadmap!P6</f>
        <v>240</v>
      </c>
      <c r="L6" s="10" t="n">
        <f aca="false">Roadmap!Q6</f>
        <v>0</v>
      </c>
    </row>
    <row r="7" customFormat="false" ht="15" hidden="false" customHeight="false" outlineLevel="0" collapsed="false">
      <c r="A7" s="6" t="s">
        <v>45</v>
      </c>
      <c r="B7" s="6" t="s">
        <v>46</v>
      </c>
      <c r="C7" s="15" t="str">
        <f aca="true">IF(TODAY()&lt;Settings!$C$4,"Chưa bắt đầu",IF(TODAY()&gt;Settings!$C$11,"Đã kết thúc",INDEX('Daily Plan'!$C$4:$C$263,MATCH(TODAY(),'Daily Plan'!$B$4:$B$263,1))))</f>
        <v>Chưa bắt đầu</v>
      </c>
      <c r="E7" s="16" t="str">
        <f aca="false">Roadmap!A7</f>
        <v>P3 · Hardening</v>
      </c>
      <c r="F7" s="9" t="n">
        <f aca="false">Roadmap!G7</f>
        <v>46477</v>
      </c>
      <c r="G7" s="9" t="n">
        <f aca="false">Roadmap!H7</f>
        <v>46520</v>
      </c>
      <c r="H7" s="10" t="n">
        <f aca="false">Roadmap!M7</f>
        <v>30</v>
      </c>
      <c r="I7" s="10" t="n">
        <f aca="false">Roadmap!N7</f>
        <v>0</v>
      </c>
      <c r="J7" s="11" t="n">
        <f aca="false">Roadmap!O7</f>
        <v>0</v>
      </c>
      <c r="K7" s="10" t="n">
        <f aca="false">Roadmap!P7</f>
        <v>120</v>
      </c>
      <c r="L7" s="10" t="n">
        <f aca="false">Roadmap!Q7</f>
        <v>0</v>
      </c>
    </row>
    <row r="8" customFormat="false" ht="30" hidden="false" customHeight="true" outlineLevel="0" collapsed="false">
      <c r="A8" s="6" t="s">
        <v>47</v>
      </c>
      <c r="B8" s="6" t="s">
        <v>48</v>
      </c>
      <c r="C8" s="15" t="str">
        <f aca="true">IFERROR(INDEX('Daily Plan'!$I$4:$I$263,MATCH(TODAY(),'Daily Plan'!$B$4:$B$263,0)),"Không có việc theo lịch hôm nay")</f>
        <v>Không có việc theo lịch hôm nay</v>
      </c>
      <c r="E8" s="17" t="str">
        <f aca="false">Roadmap!A8</f>
        <v>P4 · Beta &amp; Launch v1.0</v>
      </c>
      <c r="F8" s="9" t="n">
        <f aca="false">Roadmap!G8</f>
        <v>46521</v>
      </c>
      <c r="G8" s="9" t="n">
        <f aca="false">Roadmap!H8</f>
        <v>46548</v>
      </c>
      <c r="H8" s="10" t="n">
        <f aca="false">Roadmap!M8</f>
        <v>20</v>
      </c>
      <c r="I8" s="10" t="n">
        <f aca="false">Roadmap!N8</f>
        <v>0</v>
      </c>
      <c r="J8" s="11" t="n">
        <f aca="false">Roadmap!O8</f>
        <v>0</v>
      </c>
      <c r="K8" s="10" t="n">
        <f aca="false">Roadmap!P8</f>
        <v>80</v>
      </c>
      <c r="L8" s="10" t="n">
        <f aca="false">Roadmap!Q8</f>
        <v>0</v>
      </c>
    </row>
    <row r="9" customFormat="false" ht="15" hidden="false" customHeight="false" outlineLevel="0" collapsed="false">
      <c r="A9" s="6" t="s">
        <v>49</v>
      </c>
      <c r="B9" s="6" t="s">
        <v>50</v>
      </c>
      <c r="C9" s="15" t="str">
        <f aca="true">IF(_xlfn.MINIFS(Gates!$E$4:$E$17,Gates!$E$4:$E$17,"&gt;="&amp;TODAY())=0,"—",INDEX(Gates!$A$4:$A$17,MATCH(_xlfn.MINIFS(Gates!$E$4:$E$17,Gates!$E$4:$E$17,"&gt;="&amp;TODAY()),Gates!$E$4:$E$17,0)))</f>
        <v>G0</v>
      </c>
      <c r="E9" s="18" t="str">
        <f aca="false">Roadmap!A9</f>
        <v>P5 · Hypercare &amp; v1.5</v>
      </c>
      <c r="F9" s="9" t="n">
        <f aca="false">Roadmap!G9</f>
        <v>46549</v>
      </c>
      <c r="G9" s="9" t="n">
        <f aca="false">Roadmap!H9</f>
        <v>46604</v>
      </c>
      <c r="H9" s="10" t="n">
        <f aca="false">Roadmap!M9</f>
        <v>40</v>
      </c>
      <c r="I9" s="10" t="n">
        <f aca="false">Roadmap!N9</f>
        <v>0</v>
      </c>
      <c r="J9" s="11" t="n">
        <f aca="false">Roadmap!O9</f>
        <v>0</v>
      </c>
      <c r="K9" s="10" t="n">
        <f aca="false">Roadmap!P9</f>
        <v>160</v>
      </c>
      <c r="L9" s="10" t="n">
        <f aca="false">Roadmap!Q9</f>
        <v>0</v>
      </c>
    </row>
    <row r="10" customFormat="false" ht="15" hidden="false" customHeight="false" outlineLevel="0" collapsed="false">
      <c r="A10" s="6" t="s">
        <v>51</v>
      </c>
      <c r="B10" s="6" t="s">
        <v>52</v>
      </c>
      <c r="C10" s="7" t="n">
        <f aca="true">IF(_xlfn.MINIFS(Gates!$E$4:$E$17,Gates!$E$4:$E$17,"&gt;="&amp;TODAY())=0,"—",_xlfn.MINIFS(Gates!$E$4:$E$17,Gates!$E$4:$E$17,"&gt;="&amp;TODAY()))</f>
        <v>46339</v>
      </c>
      <c r="E10" s="19" t="str">
        <f aca="false">Roadmap!A10</f>
        <v>P6 · v2.0 — CT &amp; giải phẫu cá nhân</v>
      </c>
      <c r="F10" s="9" t="n">
        <f aca="false">Roadmap!G10</f>
        <v>46605</v>
      </c>
      <c r="G10" s="9" t="n">
        <f aca="false">Roadmap!H10</f>
        <v>46692</v>
      </c>
      <c r="H10" s="10" t="n">
        <f aca="false">Roadmap!M10</f>
        <v>60</v>
      </c>
      <c r="I10" s="10" t="n">
        <f aca="false">Roadmap!N10</f>
        <v>0</v>
      </c>
      <c r="J10" s="11" t="n">
        <f aca="false">Roadmap!O10</f>
        <v>0</v>
      </c>
      <c r="K10" s="10" t="n">
        <f aca="false">Roadmap!P10</f>
        <v>240</v>
      </c>
      <c r="L10" s="10" t="n">
        <f aca="false">Roadmap!Q10</f>
        <v>0</v>
      </c>
    </row>
    <row r="11" customFormat="false" ht="15" hidden="false" customHeight="false" outlineLevel="0" collapsed="false">
      <c r="A11" s="6" t="s">
        <v>53</v>
      </c>
      <c r="B11" s="6" t="s">
        <v>54</v>
      </c>
      <c r="C11" s="20" t="n">
        <f aca="false">COUNTA('Daily Plan'!$I$4:$I$263)</f>
        <v>260</v>
      </c>
    </row>
    <row r="12" customFormat="false" ht="15" hidden="false" customHeight="false" outlineLevel="0" collapsed="false">
      <c r="A12" s="6" t="s">
        <v>55</v>
      </c>
      <c r="B12" s="6" t="s">
        <v>56</v>
      </c>
      <c r="C12" s="20" t="n">
        <f aca="false">COUNTIF('Daily Plan'!$P$4:$P$263,"Xong")</f>
        <v>0</v>
      </c>
    </row>
    <row r="13" customFormat="false" ht="23.85" hidden="false" customHeight="false" outlineLevel="0" collapsed="false">
      <c r="A13" s="6" t="s">
        <v>57</v>
      </c>
      <c r="B13" s="6" t="s">
        <v>58</v>
      </c>
      <c r="C13" s="21" t="n">
        <f aca="false">IFERROR(C12/C11,0)</f>
        <v>0</v>
      </c>
      <c r="E13" s="5" t="s">
        <v>59</v>
      </c>
      <c r="F13" s="5" t="s">
        <v>60</v>
      </c>
      <c r="G13" s="5" t="s">
        <v>61</v>
      </c>
      <c r="H13" s="5" t="s">
        <v>62</v>
      </c>
    </row>
    <row r="14" customFormat="false" ht="15" hidden="false" customHeight="false" outlineLevel="0" collapsed="false">
      <c r="A14" s="6" t="s">
        <v>63</v>
      </c>
      <c r="B14" s="6" t="s">
        <v>64</v>
      </c>
      <c r="C14" s="21" t="n">
        <f aca="true">IFERROR(COUNTIF('Daily Plan'!$B$4:$B$263,"&lt;"&amp;TODAY())/C11,0)</f>
        <v>0</v>
      </c>
      <c r="E14" s="10" t="str">
        <f aca="false">Gates!A4</f>
        <v>G0</v>
      </c>
      <c r="F14" s="10" t="str">
        <f aca="false">Gates!D4</f>
        <v>S02</v>
      </c>
      <c r="G14" s="9" t="n">
        <f aca="false">Gates!E4</f>
        <v>46339</v>
      </c>
      <c r="H14" s="10" t="str">
        <f aca="false">Gates!J4</f>
        <v>Chưa đến</v>
      </c>
    </row>
    <row r="15" customFormat="false" ht="15" hidden="false" customHeight="false" outlineLevel="0" collapsed="false">
      <c r="A15" s="6" t="s">
        <v>65</v>
      </c>
      <c r="B15" s="6" t="s">
        <v>66</v>
      </c>
      <c r="C15" s="22" t="n">
        <f aca="false">C13-C14</f>
        <v>0</v>
      </c>
      <c r="E15" s="10" t="str">
        <f aca="false">Gates!A5</f>
        <v>G0-R</v>
      </c>
      <c r="F15" s="10" t="str">
        <f aca="false">Gates!D5</f>
        <v>S02</v>
      </c>
      <c r="G15" s="9" t="n">
        <f aca="false">Gates!E5</f>
        <v>46339</v>
      </c>
      <c r="H15" s="10" t="str">
        <f aca="false">Gates!J5</f>
        <v>Chưa đến</v>
      </c>
    </row>
    <row r="16" customFormat="false" ht="15" hidden="false" customHeight="false" outlineLevel="0" collapsed="false">
      <c r="A16" s="6" t="s">
        <v>67</v>
      </c>
      <c r="B16" s="6" t="s">
        <v>68</v>
      </c>
      <c r="C16" s="20" t="n">
        <f aca="false">COUNTIF('Daily Plan'!$Q$4:$Q$263,"Quá hạn")</f>
        <v>0</v>
      </c>
      <c r="E16" s="10" t="str">
        <f aca="false">Gates!A6</f>
        <v>G1</v>
      </c>
      <c r="F16" s="10" t="str">
        <f aca="false">Gates!D6</f>
        <v>S05</v>
      </c>
      <c r="G16" s="9" t="n">
        <f aca="false">Gates!E6</f>
        <v>46384</v>
      </c>
      <c r="H16" s="10" t="str">
        <f aca="false">Gates!J6</f>
        <v>Chưa đến</v>
      </c>
    </row>
    <row r="17" customFormat="false" ht="15" hidden="false" customHeight="false" outlineLevel="0" collapsed="false">
      <c r="A17" s="6" t="s">
        <v>69</v>
      </c>
      <c r="B17" s="6" t="s">
        <v>70</v>
      </c>
      <c r="C17" s="23" t="n">
        <f aca="false">SUM('Daily Plan'!$N$4:$N$263)</f>
        <v>1040</v>
      </c>
      <c r="E17" s="10" t="str">
        <f aca="false">Gates!A7</f>
        <v>G1-D</v>
      </c>
      <c r="F17" s="10" t="str">
        <f aca="false">Gates!D7</f>
        <v>S05</v>
      </c>
      <c r="G17" s="9" t="n">
        <f aca="false">Gates!E7</f>
        <v>46384</v>
      </c>
      <c r="H17" s="10" t="str">
        <f aca="false">Gates!J7</f>
        <v>Chưa đến</v>
      </c>
    </row>
    <row r="18" customFormat="false" ht="15" hidden="false" customHeight="false" outlineLevel="0" collapsed="false">
      <c r="A18" s="6" t="s">
        <v>71</v>
      </c>
      <c r="B18" s="6" t="s">
        <v>72</v>
      </c>
      <c r="C18" s="23" t="n">
        <f aca="false">SUM('Daily Plan'!$O$4:$O$263)</f>
        <v>0</v>
      </c>
      <c r="E18" s="10" t="str">
        <f aca="false">Gates!A8</f>
        <v>G2</v>
      </c>
      <c r="F18" s="10" t="str">
        <f aca="false">Gates!D8</f>
        <v>S11</v>
      </c>
      <c r="G18" s="9" t="n">
        <f aca="false">Gates!E8</f>
        <v>46476</v>
      </c>
      <c r="H18" s="10" t="str">
        <f aca="false">Gates!J8</f>
        <v>Chưa đến</v>
      </c>
    </row>
    <row r="19" customFormat="false" ht="15" hidden="false" customHeight="false" outlineLevel="0" collapsed="false">
      <c r="E19" s="10" t="str">
        <f aca="false">Gates!A9</f>
        <v>G2-CS</v>
      </c>
      <c r="F19" s="10" t="str">
        <f aca="false">Gates!D9</f>
        <v>S13</v>
      </c>
      <c r="G19" s="9" t="n">
        <f aca="false">Gates!E9</f>
        <v>46505</v>
      </c>
      <c r="H19" s="10" t="str">
        <f aca="false">Gates!J9</f>
        <v>Chưa đến</v>
      </c>
    </row>
    <row r="20" customFormat="false" ht="15" hidden="false" customHeight="false" outlineLevel="0" collapsed="false">
      <c r="E20" s="10" t="str">
        <f aca="false">Gates!A10</f>
        <v>G3</v>
      </c>
      <c r="F20" s="10" t="str">
        <f aca="false">Gates!D10</f>
        <v>S14</v>
      </c>
      <c r="G20" s="9" t="n">
        <f aca="false">Gates!E10</f>
        <v>46520</v>
      </c>
      <c r="H20" s="10" t="str">
        <f aca="false">Gates!J10</f>
        <v>Chưa đến</v>
      </c>
    </row>
    <row r="21" customFormat="false" ht="30" hidden="false" customHeight="true" outlineLevel="0" collapsed="false">
      <c r="A21" s="5" t="s">
        <v>62</v>
      </c>
      <c r="B21" s="5" t="s">
        <v>73</v>
      </c>
      <c r="C21" s="5" t="s">
        <v>34</v>
      </c>
      <c r="E21" s="10" t="str">
        <f aca="false">Gates!A11</f>
        <v>G3-P</v>
      </c>
      <c r="F21" s="10" t="str">
        <f aca="false">Gates!D11</f>
        <v>S14</v>
      </c>
      <c r="G21" s="9" t="n">
        <f aca="false">Gates!E11</f>
        <v>46520</v>
      </c>
      <c r="H21" s="10" t="str">
        <f aca="false">Gates!J11</f>
        <v>Chưa đến</v>
      </c>
    </row>
    <row r="22" customFormat="false" ht="15" hidden="false" customHeight="false" outlineLevel="0" collapsed="false">
      <c r="A22" s="24" t="s">
        <v>74</v>
      </c>
      <c r="B22" s="24" t="s">
        <v>75</v>
      </c>
      <c r="C22" s="24" t="n">
        <f aca="false">COUNTIF('Daily Plan'!$P$4:$P$263,A22)</f>
        <v>260</v>
      </c>
      <c r="E22" s="10" t="str">
        <f aca="false">Gates!A12</f>
        <v>G4</v>
      </c>
      <c r="F22" s="10" t="str">
        <f aca="false">Gates!D12</f>
        <v>S16</v>
      </c>
      <c r="G22" s="9" t="n">
        <f aca="false">Gates!E12</f>
        <v>46548</v>
      </c>
      <c r="H22" s="10" t="str">
        <f aca="false">Gates!J12</f>
        <v>Chưa đến</v>
      </c>
    </row>
    <row r="23" customFormat="false" ht="15" hidden="false" customHeight="false" outlineLevel="0" collapsed="false">
      <c r="A23" s="24" t="s">
        <v>76</v>
      </c>
      <c r="B23" s="24" t="s">
        <v>77</v>
      </c>
      <c r="C23" s="24" t="n">
        <f aca="false">COUNTIF('Daily Plan'!$P$4:$P$263,A23)</f>
        <v>0</v>
      </c>
      <c r="E23" s="10" t="str">
        <f aca="false">Gates!A13</f>
        <v>G5-H</v>
      </c>
      <c r="F23" s="10" t="str">
        <f aca="false">Gates!D13</f>
        <v>S18</v>
      </c>
      <c r="G23" s="9" t="n">
        <f aca="false">Gates!E13</f>
        <v>46576</v>
      </c>
      <c r="H23" s="10" t="str">
        <f aca="false">Gates!J13</f>
        <v>Chưa đến</v>
      </c>
    </row>
    <row r="24" customFormat="false" ht="15" hidden="false" customHeight="false" outlineLevel="0" collapsed="false">
      <c r="A24" s="24" t="s">
        <v>35</v>
      </c>
      <c r="B24" s="24" t="s">
        <v>78</v>
      </c>
      <c r="C24" s="24" t="n">
        <f aca="false">COUNTIF('Daily Plan'!$P$4:$P$263,A24)</f>
        <v>0</v>
      </c>
      <c r="E24" s="10" t="str">
        <f aca="false">Gates!A14</f>
        <v>G5</v>
      </c>
      <c r="F24" s="10" t="str">
        <f aca="false">Gates!D14</f>
        <v>S20</v>
      </c>
      <c r="G24" s="9" t="n">
        <f aca="false">Gates!E14</f>
        <v>46604</v>
      </c>
      <c r="H24" s="10" t="str">
        <f aca="false">Gates!J14</f>
        <v>Chưa đến</v>
      </c>
    </row>
    <row r="25" customFormat="false" ht="15" hidden="false" customHeight="false" outlineLevel="0" collapsed="false">
      <c r="A25" s="24" t="s">
        <v>79</v>
      </c>
      <c r="B25" s="24" t="s">
        <v>80</v>
      </c>
      <c r="C25" s="24" t="n">
        <f aca="false">COUNTIF('Daily Plan'!$P$4:$P$263,A25)</f>
        <v>0</v>
      </c>
      <c r="E25" s="10" t="str">
        <f aca="false">Gates!A15</f>
        <v>G0-R (CT)</v>
      </c>
      <c r="F25" s="10" t="str">
        <f aca="false">Gates!D15</f>
        <v>S21</v>
      </c>
      <c r="G25" s="9" t="n">
        <f aca="false">Gates!E15</f>
        <v>46618</v>
      </c>
      <c r="H25" s="10" t="str">
        <f aca="false">Gates!J15</f>
        <v>Chưa đến</v>
      </c>
    </row>
    <row r="26" customFormat="false" ht="15" hidden="false" customHeight="false" outlineLevel="0" collapsed="false">
      <c r="A26" s="24" t="s">
        <v>81</v>
      </c>
      <c r="B26" s="24" t="s">
        <v>82</v>
      </c>
      <c r="C26" s="24" t="n">
        <f aca="false">COUNTIF('Daily Plan'!$P$4:$P$263,A26)</f>
        <v>0</v>
      </c>
      <c r="E26" s="10" t="str">
        <f aca="false">Gates!A16</f>
        <v>G1-D (lần 2)</v>
      </c>
      <c r="F26" s="10" t="str">
        <f aca="false">Gates!D16</f>
        <v>S22</v>
      </c>
      <c r="G26" s="9" t="n">
        <f aca="false">Gates!E16</f>
        <v>46636</v>
      </c>
      <c r="H26" s="10" t="str">
        <f aca="false">Gates!J16</f>
        <v>Chưa đến</v>
      </c>
    </row>
    <row r="27" customFormat="false" ht="15" hidden="false" customHeight="false" outlineLevel="0" collapsed="false">
      <c r="E27" s="10" t="str">
        <f aca="false">Gates!A17</f>
        <v>G6</v>
      </c>
      <c r="F27" s="10" t="str">
        <f aca="false">Gates!D17</f>
        <v>S26</v>
      </c>
      <c r="G27" s="9" t="n">
        <f aca="false">Gates!E17</f>
        <v>46692</v>
      </c>
      <c r="H27" s="10" t="str">
        <f aca="false">Gates!J17</f>
        <v>Chưa đến</v>
      </c>
    </row>
  </sheetData>
  <conditionalFormatting sqref="J4:J10">
    <cfRule type="dataBar" priority="2">
      <dataBar showValue="1" minLength="10" maxLength="90">
        <cfvo type="num" val="0"/>
        <cfvo type="num" val="1"/>
        <color rgb="FF80CBC4"/>
      </dataBar>
      <extLst>
        <ext xmlns:x14="http://schemas.microsoft.com/office/spreadsheetml/2009/9/main" uri="{B025F937-C7B1-47D3-B67F-A62EFF666E3E}">
          <x14:id>{17B98CF1-B54B-4434-8135-E061A7A31DA0}</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7B98CF1-B54B-4434-8135-E061A7A31DA0}">
            <x14:dataBar minLength="10" maxLength="90" axisPosition="none" gradient="true">
              <x14:cfvo type="num">
                <xm:f>0</xm:f>
              </x14:cfvo>
              <x14:cfvo type="num">
                <xm:f>1</xm:f>
              </x14:cfvo>
              <x14:negativeFillColor rgb="FF80CBC4"/>
              <x14:axisColor rgb="FF000000"/>
            </x14:dataBar>
          </x14:cfRule>
          <xm:sqref>J4:J10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8"/>
    <col collapsed="false" customWidth="true" hidden="false" outlineLevel="0" max="4" min="4" style="0" width="80"/>
  </cols>
  <sheetData>
    <row r="1" customFormat="false" ht="24" hidden="false" customHeight="true" outlineLevel="0" collapsed="false">
      <c r="A1" s="1" t="s">
        <v>83</v>
      </c>
    </row>
    <row r="2" customFormat="false" ht="15" hidden="false" customHeight="false" outlineLevel="0" collapsed="false">
      <c r="A2" s="2" t="s">
        <v>84</v>
      </c>
    </row>
    <row r="3" customFormat="false" ht="30" hidden="false" customHeight="true" outlineLevel="0" collapsed="false">
      <c r="A3" s="5" t="s">
        <v>85</v>
      </c>
      <c r="B3" s="5" t="s">
        <v>86</v>
      </c>
      <c r="C3" s="5" t="s">
        <v>30</v>
      </c>
      <c r="D3" s="5" t="s">
        <v>87</v>
      </c>
    </row>
    <row r="4" customFormat="false" ht="15" hidden="false" customHeight="false" outlineLevel="0" collapsed="false">
      <c r="A4" s="24" t="s">
        <v>88</v>
      </c>
      <c r="B4" s="24" t="s">
        <v>89</v>
      </c>
      <c r="C4" s="25" t="n">
        <v>46314</v>
      </c>
      <c r="D4" s="24" t="s">
        <v>90</v>
      </c>
    </row>
    <row r="5" customFormat="false" ht="15" hidden="false" customHeight="false" outlineLevel="0" collapsed="false">
      <c r="A5" s="24" t="s">
        <v>91</v>
      </c>
      <c r="B5" s="24" t="s">
        <v>92</v>
      </c>
      <c r="C5" s="26" t="n">
        <v>4</v>
      </c>
      <c r="D5" s="24" t="s">
        <v>93</v>
      </c>
    </row>
    <row r="6" customFormat="false" ht="15" hidden="false" customHeight="false" outlineLevel="0" collapsed="false">
      <c r="A6" s="24" t="s">
        <v>94</v>
      </c>
      <c r="B6" s="24" t="s">
        <v>95</v>
      </c>
      <c r="C6" s="27" t="n">
        <v>5</v>
      </c>
      <c r="D6" s="24" t="s">
        <v>96</v>
      </c>
    </row>
    <row r="7" customFormat="false" ht="15" hidden="false" customHeight="false" outlineLevel="0" collapsed="false">
      <c r="A7" s="24" t="s">
        <v>97</v>
      </c>
      <c r="B7" s="24" t="s">
        <v>98</v>
      </c>
      <c r="C7" s="28" t="n">
        <f aca="false">C5*C6</f>
        <v>20</v>
      </c>
      <c r="D7" s="24" t="s">
        <v>99</v>
      </c>
    </row>
    <row r="8" customFormat="false" ht="15" hidden="false" customHeight="false" outlineLevel="0" collapsed="false">
      <c r="A8" s="24" t="s">
        <v>100</v>
      </c>
      <c r="B8" s="24" t="s">
        <v>101</v>
      </c>
      <c r="C8" s="27" t="n">
        <v>10</v>
      </c>
      <c r="D8" s="24" t="s">
        <v>102</v>
      </c>
    </row>
    <row r="9" customFormat="false" ht="15" hidden="false" customHeight="false" outlineLevel="0" collapsed="false">
      <c r="A9" s="24" t="s">
        <v>103</v>
      </c>
      <c r="B9" s="24" t="s">
        <v>104</v>
      </c>
      <c r="C9" s="29" t="n">
        <f aca="false">COUNTA(Sprints!$A$4:$A$29)</f>
        <v>26</v>
      </c>
      <c r="D9" s="24"/>
    </row>
    <row r="10" customFormat="false" ht="15" hidden="false" customHeight="false" outlineLevel="0" collapsed="false">
      <c r="A10" s="24" t="s">
        <v>105</v>
      </c>
      <c r="B10" s="24" t="s">
        <v>106</v>
      </c>
      <c r="C10" s="29" t="n">
        <f aca="false">COUNT('Daily Plan'!$A$4:$A$263)</f>
        <v>260</v>
      </c>
      <c r="D10" s="24"/>
    </row>
    <row r="11" customFormat="false" ht="15" hidden="false" customHeight="false" outlineLevel="0" collapsed="false">
      <c r="A11" s="24" t="s">
        <v>41</v>
      </c>
      <c r="B11" s="24" t="s">
        <v>42</v>
      </c>
      <c r="C11" s="9" t="n">
        <f aca="false">MAX('Daily Plan'!$B$4:$B$263)</f>
        <v>46692</v>
      </c>
      <c r="D11" s="24" t="s">
        <v>107</v>
      </c>
    </row>
    <row r="12" customFormat="false" ht="15" hidden="false" customHeight="false" outlineLevel="0" collapsed="false">
      <c r="A12" s="24" t="s">
        <v>108</v>
      </c>
      <c r="B12" s="24" t="s">
        <v>109</v>
      </c>
      <c r="C12" s="30" t="n">
        <f aca="false">SUM('Daily Plan'!$N$4:$N$263)</f>
        <v>1040</v>
      </c>
      <c r="D12" s="24"/>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6"/>
    <col collapsed="false" customWidth="true" hidden="false" outlineLevel="0" max="5" min="4" style="0" width="9"/>
    <col collapsed="false" customWidth="true" hidden="false" outlineLevel="0" max="6" min="6" style="0" width="8"/>
    <col collapsed="false" customWidth="true" hidden="false" outlineLevel="0" max="8" min="7" style="0" width="13"/>
    <col collapsed="false" customWidth="true" hidden="false" outlineLevel="0" max="9" min="9" style="0" width="44"/>
    <col collapsed="false" customWidth="true" hidden="false" outlineLevel="0" max="10" min="10" style="0" width="40"/>
    <col collapsed="false" customWidth="true" hidden="false" outlineLevel="0" max="11" min="11" style="0" width="20"/>
    <col collapsed="false" customWidth="true" hidden="false" outlineLevel="0" max="12" min="12" style="0" width="9"/>
    <col collapsed="false" customWidth="true" hidden="false" outlineLevel="0" max="17" min="13" style="0" width="8"/>
  </cols>
  <sheetData>
    <row r="1" customFormat="false" ht="24" hidden="false" customHeight="true" outlineLevel="0" collapsed="false">
      <c r="A1" s="1" t="s">
        <v>110</v>
      </c>
    </row>
    <row r="2" customFormat="false" ht="15" hidden="false" customHeight="false" outlineLevel="0" collapsed="false">
      <c r="A2" s="2" t="s">
        <v>111</v>
      </c>
    </row>
    <row r="3" customFormat="false" ht="31.5" hidden="false" customHeight="true" outlineLevel="0" collapsed="false">
      <c r="A3" s="5" t="s">
        <v>31</v>
      </c>
      <c r="B3" s="5" t="s">
        <v>112</v>
      </c>
      <c r="C3" s="5" t="s">
        <v>113</v>
      </c>
      <c r="D3" s="5" t="s">
        <v>114</v>
      </c>
      <c r="E3" s="5" t="s">
        <v>115</v>
      </c>
      <c r="F3" s="5" t="s">
        <v>116</v>
      </c>
      <c r="G3" s="5" t="s">
        <v>32</v>
      </c>
      <c r="H3" s="5" t="s">
        <v>33</v>
      </c>
      <c r="I3" s="5" t="s">
        <v>117</v>
      </c>
      <c r="J3" s="5" t="s">
        <v>118</v>
      </c>
      <c r="K3" s="5" t="s">
        <v>119</v>
      </c>
      <c r="L3" s="5" t="s">
        <v>120</v>
      </c>
      <c r="M3" s="5" t="s">
        <v>34</v>
      </c>
      <c r="N3" s="5" t="s">
        <v>35</v>
      </c>
      <c r="O3" s="5" t="s">
        <v>36</v>
      </c>
      <c r="P3" s="5" t="s">
        <v>37</v>
      </c>
      <c r="Q3" s="5" t="s">
        <v>38</v>
      </c>
    </row>
    <row r="4" customFormat="false" ht="31.5" hidden="false" customHeight="true" outlineLevel="0" collapsed="false">
      <c r="A4" s="31" t="s">
        <v>121</v>
      </c>
      <c r="B4" s="24" t="s">
        <v>122</v>
      </c>
      <c r="C4" s="24" t="s">
        <v>123</v>
      </c>
      <c r="D4" s="24" t="s">
        <v>124</v>
      </c>
      <c r="E4" s="24" t="s">
        <v>125</v>
      </c>
      <c r="F4" s="24" t="s">
        <v>126</v>
      </c>
      <c r="G4" s="9" t="n">
        <f aca="false">INDEX(Sprints!$D$4:$D$29,MATCH(D4,Sprints!$A$4:$A$29,0))</f>
        <v>46314</v>
      </c>
      <c r="H4" s="9" t="n">
        <f aca="false">INDEX(Sprints!$E$4:$E$29,MATCH(E4,Sprints!$A$4:$A$29,0))</f>
        <v>46339</v>
      </c>
      <c r="I4" s="24" t="s">
        <v>127</v>
      </c>
      <c r="J4" s="24" t="s">
        <v>128</v>
      </c>
      <c r="K4" s="24" t="s">
        <v>129</v>
      </c>
      <c r="L4" s="24"/>
      <c r="M4" s="24" t="n">
        <f aca="false">COUNTIF('Daily Plan'!$F$4:$F$263,A4)</f>
        <v>20</v>
      </c>
      <c r="N4" s="24" t="n">
        <f aca="false">COUNTIFS('Daily Plan'!$F$4:$F$263,A4,'Daily Plan'!$P$4:$P$263,"Xong")</f>
        <v>0</v>
      </c>
      <c r="O4" s="32" t="n">
        <f aca="false">IFERROR(N4/M4,0)</f>
        <v>0</v>
      </c>
      <c r="P4" s="24" t="n">
        <f aca="false">SUMIFS('Daily Plan'!$N$4:$N$263,'Daily Plan'!$F$4:$F$263,A4)</f>
        <v>80</v>
      </c>
      <c r="Q4" s="24" t="n">
        <f aca="false">SUMIFS('Daily Plan'!$O$4:$O$263,'Daily Plan'!$F$4:$F$263,A4)</f>
        <v>0</v>
      </c>
    </row>
    <row r="5" customFormat="false" ht="45.75" hidden="false" customHeight="true" outlineLevel="0" collapsed="false">
      <c r="A5" s="33" t="s">
        <v>130</v>
      </c>
      <c r="B5" s="24" t="s">
        <v>131</v>
      </c>
      <c r="C5" s="24" t="s">
        <v>131</v>
      </c>
      <c r="D5" s="24" t="s">
        <v>132</v>
      </c>
      <c r="E5" s="24" t="s">
        <v>133</v>
      </c>
      <c r="F5" s="24" t="s">
        <v>134</v>
      </c>
      <c r="G5" s="9" t="n">
        <f aca="false">INDEX(Sprints!$D$4:$D$29,MATCH(D5,Sprints!$A$4:$A$29,0))</f>
        <v>46342</v>
      </c>
      <c r="H5" s="9" t="n">
        <f aca="false">INDEX(Sprints!$E$4:$E$29,MATCH(E5,Sprints!$A$4:$A$29,0))</f>
        <v>46384</v>
      </c>
      <c r="I5" s="24" t="s">
        <v>135</v>
      </c>
      <c r="J5" s="24" t="s">
        <v>136</v>
      </c>
      <c r="K5" s="24" t="s">
        <v>137</v>
      </c>
      <c r="L5" s="24"/>
      <c r="M5" s="24" t="n">
        <f aca="false">COUNTIF('Daily Plan'!$F$4:$F$263,A5)</f>
        <v>30</v>
      </c>
      <c r="N5" s="24" t="n">
        <f aca="false">COUNTIFS('Daily Plan'!$F$4:$F$263,A5,'Daily Plan'!$P$4:$P$263,"Xong")</f>
        <v>0</v>
      </c>
      <c r="O5" s="32" t="n">
        <f aca="false">IFERROR(N5/M5,0)</f>
        <v>0</v>
      </c>
      <c r="P5" s="24" t="n">
        <f aca="false">SUMIFS('Daily Plan'!$N$4:$N$263,'Daily Plan'!$F$4:$F$263,A5)</f>
        <v>120</v>
      </c>
      <c r="Q5" s="24" t="n">
        <f aca="false">SUMIFS('Daily Plan'!$O$4:$O$263,'Daily Plan'!$F$4:$F$263,A5)</f>
        <v>0</v>
      </c>
    </row>
    <row r="6" customFormat="false" ht="45.75" hidden="false" customHeight="true" outlineLevel="0" collapsed="false">
      <c r="A6" s="34" t="s">
        <v>138</v>
      </c>
      <c r="B6" s="24" t="s">
        <v>139</v>
      </c>
      <c r="C6" s="24" t="s">
        <v>139</v>
      </c>
      <c r="D6" s="24" t="s">
        <v>140</v>
      </c>
      <c r="E6" s="24" t="s">
        <v>141</v>
      </c>
      <c r="F6" s="24" t="s">
        <v>142</v>
      </c>
      <c r="G6" s="9" t="n">
        <f aca="false">INDEX(Sprints!$D$4:$D$29,MATCH(D6,Sprints!$A$4:$A$29,0))</f>
        <v>46385</v>
      </c>
      <c r="H6" s="9" t="n">
        <f aca="false">INDEX(Sprints!$E$4:$E$29,MATCH(E6,Sprints!$A$4:$A$29,0))</f>
        <v>46476</v>
      </c>
      <c r="I6" s="24" t="s">
        <v>143</v>
      </c>
      <c r="J6" s="24" t="s">
        <v>144</v>
      </c>
      <c r="K6" s="24" t="s">
        <v>145</v>
      </c>
      <c r="L6" s="24"/>
      <c r="M6" s="24" t="n">
        <f aca="false">COUNTIF('Daily Plan'!$F$4:$F$263,A6)</f>
        <v>60</v>
      </c>
      <c r="N6" s="24" t="n">
        <f aca="false">COUNTIFS('Daily Plan'!$F$4:$F$263,A6,'Daily Plan'!$P$4:$P$263,"Xong")</f>
        <v>0</v>
      </c>
      <c r="O6" s="32" t="n">
        <f aca="false">IFERROR(N6/M6,0)</f>
        <v>0</v>
      </c>
      <c r="P6" s="24" t="n">
        <f aca="false">SUMIFS('Daily Plan'!$N$4:$N$263,'Daily Plan'!$F$4:$F$263,A6)</f>
        <v>240</v>
      </c>
      <c r="Q6" s="24" t="n">
        <f aca="false">SUMIFS('Daily Plan'!$O$4:$O$263,'Daily Plan'!$F$4:$F$263,A6)</f>
        <v>0</v>
      </c>
    </row>
    <row r="7" customFormat="false" ht="45.75" hidden="false" customHeight="true" outlineLevel="0" collapsed="false">
      <c r="A7" s="35" t="s">
        <v>146</v>
      </c>
      <c r="B7" s="24" t="s">
        <v>147</v>
      </c>
      <c r="C7" s="24" t="s">
        <v>147</v>
      </c>
      <c r="D7" s="24" t="s">
        <v>148</v>
      </c>
      <c r="E7" s="24" t="s">
        <v>149</v>
      </c>
      <c r="F7" s="24" t="s">
        <v>150</v>
      </c>
      <c r="G7" s="9" t="n">
        <f aca="false">INDEX(Sprints!$D$4:$D$29,MATCH(D7,Sprints!$A$4:$A$29,0))</f>
        <v>46477</v>
      </c>
      <c r="H7" s="9" t="n">
        <f aca="false">INDEX(Sprints!$E$4:$E$29,MATCH(E7,Sprints!$A$4:$A$29,0))</f>
        <v>46520</v>
      </c>
      <c r="I7" s="24" t="s">
        <v>151</v>
      </c>
      <c r="J7" s="24" t="s">
        <v>152</v>
      </c>
      <c r="K7" s="24" t="s">
        <v>153</v>
      </c>
      <c r="L7" s="24"/>
      <c r="M7" s="24" t="n">
        <f aca="false">COUNTIF('Daily Plan'!$F$4:$F$263,A7)</f>
        <v>30</v>
      </c>
      <c r="N7" s="24" t="n">
        <f aca="false">COUNTIFS('Daily Plan'!$F$4:$F$263,A7,'Daily Plan'!$P$4:$P$263,"Xong")</f>
        <v>0</v>
      </c>
      <c r="O7" s="32" t="n">
        <f aca="false">IFERROR(N7/M7,0)</f>
        <v>0</v>
      </c>
      <c r="P7" s="24" t="n">
        <f aca="false">SUMIFS('Daily Plan'!$N$4:$N$263,'Daily Plan'!$F$4:$F$263,A7)</f>
        <v>120</v>
      </c>
      <c r="Q7" s="24" t="n">
        <f aca="false">SUMIFS('Daily Plan'!$O$4:$O$263,'Daily Plan'!$F$4:$F$263,A7)</f>
        <v>0</v>
      </c>
    </row>
    <row r="8" customFormat="false" ht="31.5" hidden="false" customHeight="true" outlineLevel="0" collapsed="false">
      <c r="A8" s="36" t="s">
        <v>154</v>
      </c>
      <c r="B8" s="24" t="s">
        <v>155</v>
      </c>
      <c r="C8" s="24" t="s">
        <v>155</v>
      </c>
      <c r="D8" s="24" t="s">
        <v>156</v>
      </c>
      <c r="E8" s="24" t="s">
        <v>157</v>
      </c>
      <c r="F8" s="24" t="s">
        <v>158</v>
      </c>
      <c r="G8" s="9" t="n">
        <f aca="false">INDEX(Sprints!$D$4:$D$29,MATCH(D8,Sprints!$A$4:$A$29,0))</f>
        <v>46521</v>
      </c>
      <c r="H8" s="9" t="n">
        <f aca="false">INDEX(Sprints!$E$4:$E$29,MATCH(E8,Sprints!$A$4:$A$29,0))</f>
        <v>46548</v>
      </c>
      <c r="I8" s="24" t="s">
        <v>159</v>
      </c>
      <c r="J8" s="24" t="s">
        <v>160</v>
      </c>
      <c r="K8" s="24" t="s">
        <v>161</v>
      </c>
      <c r="L8" s="24" t="s">
        <v>162</v>
      </c>
      <c r="M8" s="24" t="n">
        <f aca="false">COUNTIF('Daily Plan'!$F$4:$F$263,A8)</f>
        <v>20</v>
      </c>
      <c r="N8" s="24" t="n">
        <f aca="false">COUNTIFS('Daily Plan'!$F$4:$F$263,A8,'Daily Plan'!$P$4:$P$263,"Xong")</f>
        <v>0</v>
      </c>
      <c r="O8" s="32" t="n">
        <f aca="false">IFERROR(N8/M8,0)</f>
        <v>0</v>
      </c>
      <c r="P8" s="24" t="n">
        <f aca="false">SUMIFS('Daily Plan'!$N$4:$N$263,'Daily Plan'!$F$4:$F$263,A8)</f>
        <v>80</v>
      </c>
      <c r="Q8" s="24" t="n">
        <f aca="false">SUMIFS('Daily Plan'!$O$4:$O$263,'Daily Plan'!$F$4:$F$263,A8)</f>
        <v>0</v>
      </c>
    </row>
    <row r="9" customFormat="false" ht="45.75" hidden="false" customHeight="true" outlineLevel="0" collapsed="false">
      <c r="A9" s="37" t="s">
        <v>163</v>
      </c>
      <c r="B9" s="24" t="s">
        <v>164</v>
      </c>
      <c r="C9" s="24" t="s">
        <v>164</v>
      </c>
      <c r="D9" s="24" t="s">
        <v>165</v>
      </c>
      <c r="E9" s="24" t="s">
        <v>166</v>
      </c>
      <c r="F9" s="24" t="s">
        <v>167</v>
      </c>
      <c r="G9" s="9" t="n">
        <f aca="false">INDEX(Sprints!$D$4:$D$29,MATCH(D9,Sprints!$A$4:$A$29,0))</f>
        <v>46549</v>
      </c>
      <c r="H9" s="9" t="n">
        <f aca="false">INDEX(Sprints!$E$4:$E$29,MATCH(E9,Sprints!$A$4:$A$29,0))</f>
        <v>46604</v>
      </c>
      <c r="I9" s="24" t="s">
        <v>168</v>
      </c>
      <c r="J9" s="24" t="s">
        <v>169</v>
      </c>
      <c r="K9" s="24" t="s">
        <v>170</v>
      </c>
      <c r="L9" s="24" t="s">
        <v>171</v>
      </c>
      <c r="M9" s="24" t="n">
        <f aca="false">COUNTIF('Daily Plan'!$F$4:$F$263,A9)</f>
        <v>40</v>
      </c>
      <c r="N9" s="24" t="n">
        <f aca="false">COUNTIFS('Daily Plan'!$F$4:$F$263,A9,'Daily Plan'!$P$4:$P$263,"Xong")</f>
        <v>0</v>
      </c>
      <c r="O9" s="32" t="n">
        <f aca="false">IFERROR(N9/M9,0)</f>
        <v>0</v>
      </c>
      <c r="P9" s="24" t="n">
        <f aca="false">SUMIFS('Daily Plan'!$N$4:$N$263,'Daily Plan'!$F$4:$F$263,A9)</f>
        <v>160</v>
      </c>
      <c r="Q9" s="24" t="n">
        <f aca="false">SUMIFS('Daily Plan'!$O$4:$O$263,'Daily Plan'!$F$4:$F$263,A9)</f>
        <v>0</v>
      </c>
    </row>
    <row r="10" customFormat="false" ht="45.75" hidden="false" customHeight="true" outlineLevel="0" collapsed="false">
      <c r="A10" s="38" t="s">
        <v>172</v>
      </c>
      <c r="B10" s="24" t="s">
        <v>173</v>
      </c>
      <c r="C10" s="24" t="s">
        <v>174</v>
      </c>
      <c r="D10" s="24" t="s">
        <v>175</v>
      </c>
      <c r="E10" s="24" t="s">
        <v>176</v>
      </c>
      <c r="F10" s="24" t="s">
        <v>177</v>
      </c>
      <c r="G10" s="9" t="n">
        <f aca="false">INDEX(Sprints!$D$4:$D$29,MATCH(D10,Sprints!$A$4:$A$29,0))</f>
        <v>46605</v>
      </c>
      <c r="H10" s="9" t="n">
        <f aca="false">INDEX(Sprints!$E$4:$E$29,MATCH(E10,Sprints!$A$4:$A$29,0))</f>
        <v>46692</v>
      </c>
      <c r="I10" s="24" t="s">
        <v>178</v>
      </c>
      <c r="J10" s="24" t="s">
        <v>179</v>
      </c>
      <c r="K10" s="24" t="s">
        <v>180</v>
      </c>
      <c r="L10" s="24" t="s">
        <v>181</v>
      </c>
      <c r="M10" s="24" t="n">
        <f aca="false">COUNTIF('Daily Plan'!$F$4:$F$263,A10)</f>
        <v>60</v>
      </c>
      <c r="N10" s="24" t="n">
        <f aca="false">COUNTIFS('Daily Plan'!$F$4:$F$263,A10,'Daily Plan'!$P$4:$P$263,"Xong")</f>
        <v>0</v>
      </c>
      <c r="O10" s="32" t="n">
        <f aca="false">IFERROR(N10/M10,0)</f>
        <v>0</v>
      </c>
      <c r="P10" s="24" t="n">
        <f aca="false">SUMIFS('Daily Plan'!$N$4:$N$263,'Daily Plan'!$F$4:$F$263,A10)</f>
        <v>240</v>
      </c>
      <c r="Q10" s="24" t="n">
        <f aca="false">SUMIFS('Daily Plan'!$O$4:$O$263,'Daily Plan'!$F$4:$F$263,A10)</f>
        <v>0</v>
      </c>
    </row>
    <row r="11" customFormat="false" ht="15" hidden="false" customHeight="false" outlineLevel="0" collapsed="false">
      <c r="A11" s="39" t="s">
        <v>182</v>
      </c>
      <c r="B11" s="39"/>
      <c r="C11" s="39"/>
      <c r="D11" s="39"/>
      <c r="E11" s="39"/>
      <c r="F11" s="39"/>
      <c r="G11" s="39"/>
      <c r="H11" s="39"/>
      <c r="I11" s="39"/>
      <c r="J11" s="39"/>
      <c r="K11" s="39"/>
      <c r="L11" s="39"/>
      <c r="M11" s="39" t="n">
        <f aca="false">SUM(M4:M10)</f>
        <v>260</v>
      </c>
      <c r="N11" s="39" t="n">
        <f aca="false">SUM(N4:N10)</f>
        <v>0</v>
      </c>
      <c r="O11" s="40" t="n">
        <f aca="false">IFERROR(N11/M11,0)</f>
        <v>0</v>
      </c>
      <c r="P11" s="39" t="n">
        <f aca="false">SUM(P4:P10)</f>
        <v>1040</v>
      </c>
      <c r="Q11" s="39" t="n">
        <f aca="false">SUM(Q4:Q10)</f>
        <v>0</v>
      </c>
    </row>
  </sheetData>
  <conditionalFormatting sqref="O4:O10">
    <cfRule type="dataBar" priority="2">
      <dataBar showValue="1" minLength="10" maxLength="90">
        <cfvo type="num" val="0"/>
        <cfvo type="num" val="1"/>
        <color rgb="FF80CBC4"/>
      </dataBar>
      <extLst>
        <ext xmlns:x14="http://schemas.microsoft.com/office/spreadsheetml/2009/9/main" uri="{B025F937-C7B1-47D3-B67F-A62EFF666E3E}">
          <x14:id>{EB532A8B-E08D-4940-BFA6-2330BE60CF9B}</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B532A8B-E08D-4940-BFA6-2330BE60CF9B}">
            <x14:dataBar minLength="10" maxLength="90" axisPosition="none" gradient="true">
              <x14:cfvo type="num">
                <xm:f>0</xm:f>
              </x14:cfvo>
              <x14:cfvo type="num">
                <xm:f>1</xm:f>
              </x14:cfvo>
              <x14:negativeFillColor rgb="FF80CBC4"/>
              <x14:axisColor rgb="FF000000"/>
            </x14:dataBar>
          </x14:cfRule>
          <xm:sqref>O4:O10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54" min="3" style="0" width="3.2"/>
  </cols>
  <sheetData>
    <row r="1" customFormat="false" ht="24" hidden="false" customHeight="true" outlineLevel="0" collapsed="false">
      <c r="A1" s="1" t="s">
        <v>183</v>
      </c>
    </row>
    <row r="2" customFormat="false" ht="15" hidden="false" customHeight="false" outlineLevel="0" collapsed="false">
      <c r="A2" s="2" t="s">
        <v>184</v>
      </c>
    </row>
    <row r="3" customFormat="false" ht="18" hidden="false" customHeight="true" outlineLevel="0" collapsed="false">
      <c r="A3" s="5" t="s">
        <v>60</v>
      </c>
      <c r="B3" s="5" t="s">
        <v>31</v>
      </c>
      <c r="C3" s="5" t="n">
        <v>1</v>
      </c>
      <c r="D3" s="5" t="n">
        <v>2</v>
      </c>
      <c r="E3" s="5" t="n">
        <v>3</v>
      </c>
      <c r="F3" s="5" t="n">
        <v>4</v>
      </c>
      <c r="G3" s="5" t="n">
        <v>5</v>
      </c>
      <c r="H3" s="5" t="n">
        <v>6</v>
      </c>
      <c r="I3" s="5" t="n">
        <v>7</v>
      </c>
      <c r="J3" s="5" t="n">
        <v>8</v>
      </c>
      <c r="K3" s="5" t="n">
        <v>9</v>
      </c>
      <c r="L3" s="5" t="n">
        <v>10</v>
      </c>
      <c r="M3" s="5" t="n">
        <v>11</v>
      </c>
      <c r="N3" s="5" t="n">
        <v>12</v>
      </c>
      <c r="O3" s="5" t="n">
        <v>13</v>
      </c>
      <c r="P3" s="5" t="n">
        <v>14</v>
      </c>
      <c r="Q3" s="5" t="n">
        <v>15</v>
      </c>
      <c r="R3" s="5" t="n">
        <v>16</v>
      </c>
      <c r="S3" s="5" t="n">
        <v>17</v>
      </c>
      <c r="T3" s="5" t="n">
        <v>18</v>
      </c>
      <c r="U3" s="5" t="n">
        <v>19</v>
      </c>
      <c r="V3" s="5" t="n">
        <v>20</v>
      </c>
      <c r="W3" s="5" t="n">
        <v>21</v>
      </c>
      <c r="X3" s="5" t="n">
        <v>22</v>
      </c>
      <c r="Y3" s="5" t="n">
        <v>23</v>
      </c>
      <c r="Z3" s="5" t="n">
        <v>24</v>
      </c>
      <c r="AA3" s="5" t="n">
        <v>25</v>
      </c>
      <c r="AB3" s="5" t="n">
        <v>26</v>
      </c>
      <c r="AC3" s="5" t="n">
        <v>27</v>
      </c>
      <c r="AD3" s="5" t="n">
        <v>28</v>
      </c>
      <c r="AE3" s="5" t="n">
        <v>29</v>
      </c>
      <c r="AF3" s="5" t="n">
        <v>30</v>
      </c>
      <c r="AG3" s="5" t="n">
        <v>31</v>
      </c>
      <c r="AH3" s="5" t="n">
        <v>32</v>
      </c>
      <c r="AI3" s="5" t="n">
        <v>33</v>
      </c>
      <c r="AJ3" s="5" t="n">
        <v>34</v>
      </c>
      <c r="AK3" s="5" t="n">
        <v>35</v>
      </c>
      <c r="AL3" s="5" t="n">
        <v>36</v>
      </c>
      <c r="AM3" s="5" t="n">
        <v>37</v>
      </c>
      <c r="AN3" s="5" t="n">
        <v>38</v>
      </c>
      <c r="AO3" s="5" t="n">
        <v>39</v>
      </c>
      <c r="AP3" s="5" t="n">
        <v>40</v>
      </c>
      <c r="AQ3" s="5" t="n">
        <v>41</v>
      </c>
      <c r="AR3" s="5" t="n">
        <v>42</v>
      </c>
      <c r="AS3" s="5" t="n">
        <v>43</v>
      </c>
      <c r="AT3" s="5" t="n">
        <v>44</v>
      </c>
      <c r="AU3" s="5" t="n">
        <v>45</v>
      </c>
      <c r="AV3" s="5" t="n">
        <v>46</v>
      </c>
      <c r="AW3" s="5" t="n">
        <v>47</v>
      </c>
      <c r="AX3" s="5" t="n">
        <v>48</v>
      </c>
      <c r="AY3" s="5" t="n">
        <v>49</v>
      </c>
      <c r="AZ3" s="5" t="n">
        <v>50</v>
      </c>
      <c r="BA3" s="5" t="n">
        <v>51</v>
      </c>
      <c r="BB3" s="5" t="n">
        <v>52</v>
      </c>
    </row>
    <row r="4" customFormat="false" ht="33.75" hidden="false" customHeight="true" outlineLevel="0" collapsed="false">
      <c r="A4" s="41" t="s">
        <v>185</v>
      </c>
      <c r="C4" s="42" t="n">
        <f aca="false">INDEX('Daily Plan'!$B$4:$B$263,1)</f>
        <v>46314</v>
      </c>
      <c r="D4" s="42" t="n">
        <f aca="false">INDEX('Daily Plan'!$B$4:$B$263,6)</f>
        <v>46321</v>
      </c>
      <c r="E4" s="42" t="n">
        <f aca="false">INDEX('Daily Plan'!$B$4:$B$263,11)</f>
        <v>46328</v>
      </c>
      <c r="F4" s="42" t="n">
        <f aca="false">INDEX('Daily Plan'!$B$4:$B$263,16)</f>
        <v>46335</v>
      </c>
      <c r="G4" s="42" t="n">
        <f aca="false">INDEX('Daily Plan'!$B$4:$B$263,21)</f>
        <v>46342</v>
      </c>
      <c r="H4" s="42" t="n">
        <f aca="false">INDEX('Daily Plan'!$B$4:$B$263,26)</f>
        <v>46349</v>
      </c>
      <c r="I4" s="42" t="n">
        <f aca="false">INDEX('Daily Plan'!$B$4:$B$263,31)</f>
        <v>46357</v>
      </c>
      <c r="J4" s="42" t="n">
        <f aca="false">INDEX('Daily Plan'!$B$4:$B$263,36)</f>
        <v>46364</v>
      </c>
      <c r="K4" s="42" t="n">
        <f aca="false">INDEX('Daily Plan'!$B$4:$B$263,41)</f>
        <v>46371</v>
      </c>
      <c r="L4" s="42" t="n">
        <f aca="false">INDEX('Daily Plan'!$B$4:$B$263,46)</f>
        <v>46378</v>
      </c>
      <c r="M4" s="42" t="n">
        <f aca="false">INDEX('Daily Plan'!$B$4:$B$263,51)</f>
        <v>46385</v>
      </c>
      <c r="N4" s="42" t="n">
        <f aca="false">INDEX('Daily Plan'!$B$4:$B$263,56)</f>
        <v>46393</v>
      </c>
      <c r="O4" s="42" t="n">
        <f aca="false">INDEX('Daily Plan'!$B$4:$B$263,61)</f>
        <v>46400</v>
      </c>
      <c r="P4" s="42" t="n">
        <f aca="false">INDEX('Daily Plan'!$B$4:$B$263,66)</f>
        <v>46407</v>
      </c>
      <c r="Q4" s="42" t="n">
        <f aca="false">INDEX('Daily Plan'!$B$4:$B$263,71)</f>
        <v>46414</v>
      </c>
      <c r="R4" s="42" t="n">
        <f aca="false">INDEX('Daily Plan'!$B$4:$B$263,76)</f>
        <v>46421</v>
      </c>
      <c r="S4" s="42" t="n">
        <f aca="false">INDEX('Daily Plan'!$B$4:$B$263,81)</f>
        <v>46435</v>
      </c>
      <c r="T4" s="42" t="n">
        <f aca="false">INDEX('Daily Plan'!$B$4:$B$263,86)</f>
        <v>46442</v>
      </c>
      <c r="U4" s="42" t="n">
        <f aca="false">INDEX('Daily Plan'!$B$4:$B$263,91)</f>
        <v>46449</v>
      </c>
      <c r="V4" s="42" t="n">
        <f aca="false">INDEX('Daily Plan'!$B$4:$B$263,96)</f>
        <v>46456</v>
      </c>
      <c r="W4" s="42" t="n">
        <f aca="false">INDEX('Daily Plan'!$B$4:$B$263,101)</f>
        <v>46463</v>
      </c>
      <c r="X4" s="42" t="n">
        <f aca="false">INDEX('Daily Plan'!$B$4:$B$263,106)</f>
        <v>46470</v>
      </c>
      <c r="Y4" s="42" t="n">
        <f aca="false">INDEX('Daily Plan'!$B$4:$B$263,111)</f>
        <v>46477</v>
      </c>
      <c r="Z4" s="42" t="n">
        <f aca="false">INDEX('Daily Plan'!$B$4:$B$263,116)</f>
        <v>46484</v>
      </c>
      <c r="AA4" s="42" t="n">
        <f aca="false">INDEX('Daily Plan'!$B$4:$B$263,121)</f>
        <v>46491</v>
      </c>
      <c r="AB4" s="42" t="n">
        <f aca="false">INDEX('Daily Plan'!$B$4:$B$263,126)</f>
        <v>46499</v>
      </c>
      <c r="AC4" s="42" t="n">
        <f aca="false">INDEX('Daily Plan'!$B$4:$B$263,131)</f>
        <v>46506</v>
      </c>
      <c r="AD4" s="42" t="n">
        <f aca="false">INDEX('Daily Plan'!$B$4:$B$263,136)</f>
        <v>46514</v>
      </c>
      <c r="AE4" s="42" t="n">
        <f aca="false">INDEX('Daily Plan'!$B$4:$B$263,141)</f>
        <v>46521</v>
      </c>
      <c r="AF4" s="42" t="n">
        <f aca="false">INDEX('Daily Plan'!$B$4:$B$263,146)</f>
        <v>46528</v>
      </c>
      <c r="AG4" s="42" t="n">
        <f aca="false">INDEX('Daily Plan'!$B$4:$B$263,151)</f>
        <v>46535</v>
      </c>
      <c r="AH4" s="42" t="n">
        <f aca="false">INDEX('Daily Plan'!$B$4:$B$263,156)</f>
        <v>46542</v>
      </c>
      <c r="AI4" s="42" t="n">
        <f aca="false">INDEX('Daily Plan'!$B$4:$B$263,161)</f>
        <v>46549</v>
      </c>
      <c r="AJ4" s="42" t="n">
        <f aca="false">INDEX('Daily Plan'!$B$4:$B$263,166)</f>
        <v>46556</v>
      </c>
      <c r="AK4" s="42" t="n">
        <f aca="false">INDEX('Daily Plan'!$B$4:$B$263,171)</f>
        <v>46563</v>
      </c>
      <c r="AL4" s="42" t="n">
        <f aca="false">INDEX('Daily Plan'!$B$4:$B$263,176)</f>
        <v>46570</v>
      </c>
      <c r="AM4" s="42" t="n">
        <f aca="false">INDEX('Daily Plan'!$B$4:$B$263,181)</f>
        <v>46577</v>
      </c>
      <c r="AN4" s="42" t="n">
        <f aca="false">INDEX('Daily Plan'!$B$4:$B$263,186)</f>
        <v>46584</v>
      </c>
      <c r="AO4" s="42" t="n">
        <f aca="false">INDEX('Daily Plan'!$B$4:$B$263,191)</f>
        <v>46591</v>
      </c>
      <c r="AP4" s="42" t="n">
        <f aca="false">INDEX('Daily Plan'!$B$4:$B$263,196)</f>
        <v>46598</v>
      </c>
      <c r="AQ4" s="42" t="n">
        <f aca="false">INDEX('Daily Plan'!$B$4:$B$263,201)</f>
        <v>46605</v>
      </c>
      <c r="AR4" s="42" t="n">
        <f aca="false">INDEX('Daily Plan'!$B$4:$B$263,206)</f>
        <v>46612</v>
      </c>
      <c r="AS4" s="42" t="n">
        <f aca="false">INDEX('Daily Plan'!$B$4:$B$263,211)</f>
        <v>46619</v>
      </c>
      <c r="AT4" s="42" t="n">
        <f aca="false">INDEX('Daily Plan'!$B$4:$B$263,216)</f>
        <v>46626</v>
      </c>
      <c r="AU4" s="42" t="n">
        <f aca="false">INDEX('Daily Plan'!$B$4:$B$263,221)</f>
        <v>46637</v>
      </c>
      <c r="AV4" s="42" t="n">
        <f aca="false">INDEX('Daily Plan'!$B$4:$B$263,226)</f>
        <v>46644</v>
      </c>
      <c r="AW4" s="42" t="n">
        <f aca="false">INDEX('Daily Plan'!$B$4:$B$263,231)</f>
        <v>46651</v>
      </c>
      <c r="AX4" s="42" t="n">
        <f aca="false">INDEX('Daily Plan'!$B$4:$B$263,236)</f>
        <v>46658</v>
      </c>
      <c r="AY4" s="42" t="n">
        <f aca="false">INDEX('Daily Plan'!$B$4:$B$263,241)</f>
        <v>46665</v>
      </c>
      <c r="AZ4" s="42" t="n">
        <f aca="false">INDEX('Daily Plan'!$B$4:$B$263,246)</f>
        <v>46672</v>
      </c>
      <c r="BA4" s="42" t="n">
        <f aca="false">INDEX('Daily Plan'!$B$4:$B$263,251)</f>
        <v>46679</v>
      </c>
      <c r="BB4" s="42" t="n">
        <f aca="false">INDEX('Daily Plan'!$B$4:$B$263,256)</f>
        <v>46686</v>
      </c>
    </row>
    <row r="5" customFormat="false" ht="15" hidden="false" customHeight="false" outlineLevel="0" collapsed="false">
      <c r="A5" s="41" t="s">
        <v>124</v>
      </c>
      <c r="B5" s="43" t="s">
        <v>121</v>
      </c>
      <c r="C5" s="44"/>
      <c r="D5" s="44"/>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row>
    <row r="6" customFormat="false" ht="15" hidden="false" customHeight="false" outlineLevel="0" collapsed="false">
      <c r="A6" s="41" t="s">
        <v>125</v>
      </c>
      <c r="B6" s="43" t="s">
        <v>121</v>
      </c>
      <c r="C6" s="45"/>
      <c r="D6" s="45"/>
      <c r="E6" s="44"/>
      <c r="F6" s="46" t="s">
        <v>186</v>
      </c>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row>
    <row r="7" customFormat="false" ht="15" hidden="false" customHeight="false" outlineLevel="0" collapsed="false">
      <c r="A7" s="41" t="s">
        <v>132</v>
      </c>
      <c r="B7" s="43" t="s">
        <v>130</v>
      </c>
      <c r="C7" s="45"/>
      <c r="D7" s="45"/>
      <c r="E7" s="45"/>
      <c r="F7" s="45"/>
      <c r="G7" s="47"/>
      <c r="H7" s="47"/>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row>
    <row r="8" customFormat="false" ht="15" hidden="false" customHeight="false" outlineLevel="0" collapsed="false">
      <c r="A8" s="41" t="s">
        <v>187</v>
      </c>
      <c r="B8" s="43" t="s">
        <v>130</v>
      </c>
      <c r="C8" s="45"/>
      <c r="D8" s="45"/>
      <c r="E8" s="45"/>
      <c r="F8" s="45"/>
      <c r="G8" s="45"/>
      <c r="H8" s="45"/>
      <c r="I8" s="47"/>
      <c r="J8" s="47"/>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row>
    <row r="9" customFormat="false" ht="15" hidden="false" customHeight="false" outlineLevel="0" collapsed="false">
      <c r="A9" s="41" t="s">
        <v>133</v>
      </c>
      <c r="B9" s="43" t="s">
        <v>130</v>
      </c>
      <c r="C9" s="45"/>
      <c r="D9" s="45"/>
      <c r="E9" s="45"/>
      <c r="F9" s="45"/>
      <c r="G9" s="45"/>
      <c r="H9" s="45"/>
      <c r="I9" s="45"/>
      <c r="J9" s="45"/>
      <c r="K9" s="47"/>
      <c r="L9" s="48" t="s">
        <v>186</v>
      </c>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row>
    <row r="10" customFormat="false" ht="15" hidden="false" customHeight="false" outlineLevel="0" collapsed="false">
      <c r="A10" s="41" t="s">
        <v>140</v>
      </c>
      <c r="B10" s="43" t="s">
        <v>138</v>
      </c>
      <c r="C10" s="45"/>
      <c r="D10" s="45"/>
      <c r="E10" s="45"/>
      <c r="F10" s="45"/>
      <c r="G10" s="45"/>
      <c r="H10" s="45"/>
      <c r="I10" s="45"/>
      <c r="J10" s="45"/>
      <c r="K10" s="45"/>
      <c r="L10" s="45"/>
      <c r="M10" s="49"/>
      <c r="N10" s="49"/>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row>
    <row r="11" customFormat="false" ht="15" hidden="false" customHeight="false" outlineLevel="0" collapsed="false">
      <c r="A11" s="41" t="s">
        <v>188</v>
      </c>
      <c r="B11" s="43" t="s">
        <v>138</v>
      </c>
      <c r="C11" s="45"/>
      <c r="D11" s="45"/>
      <c r="E11" s="45"/>
      <c r="F11" s="45"/>
      <c r="G11" s="45"/>
      <c r="H11" s="45"/>
      <c r="I11" s="45"/>
      <c r="J11" s="45"/>
      <c r="K11" s="45"/>
      <c r="L11" s="45"/>
      <c r="M11" s="45"/>
      <c r="N11" s="45"/>
      <c r="O11" s="49"/>
      <c r="P11" s="49"/>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row>
    <row r="12" customFormat="false" ht="15" hidden="false" customHeight="false" outlineLevel="0" collapsed="false">
      <c r="A12" s="41" t="s">
        <v>189</v>
      </c>
      <c r="B12" s="43" t="s">
        <v>138</v>
      </c>
      <c r="C12" s="45"/>
      <c r="D12" s="45"/>
      <c r="E12" s="45"/>
      <c r="F12" s="45"/>
      <c r="G12" s="45"/>
      <c r="H12" s="45"/>
      <c r="I12" s="45"/>
      <c r="J12" s="45"/>
      <c r="K12" s="45"/>
      <c r="L12" s="45"/>
      <c r="M12" s="45"/>
      <c r="N12" s="45"/>
      <c r="O12" s="45"/>
      <c r="P12" s="45"/>
      <c r="Q12" s="49"/>
      <c r="R12" s="49"/>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row>
    <row r="13" customFormat="false" ht="15" hidden="false" customHeight="false" outlineLevel="0" collapsed="false">
      <c r="A13" s="41" t="s">
        <v>190</v>
      </c>
      <c r="B13" s="43" t="s">
        <v>138</v>
      </c>
      <c r="C13" s="45"/>
      <c r="D13" s="45"/>
      <c r="E13" s="45"/>
      <c r="F13" s="45"/>
      <c r="G13" s="45"/>
      <c r="H13" s="45"/>
      <c r="I13" s="45"/>
      <c r="J13" s="45"/>
      <c r="K13" s="45"/>
      <c r="L13" s="45"/>
      <c r="M13" s="45"/>
      <c r="N13" s="45"/>
      <c r="O13" s="45"/>
      <c r="P13" s="45"/>
      <c r="Q13" s="45"/>
      <c r="R13" s="45"/>
      <c r="S13" s="49"/>
      <c r="T13" s="49"/>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row>
    <row r="14" customFormat="false" ht="15" hidden="false" customHeight="false" outlineLevel="0" collapsed="false">
      <c r="A14" s="41" t="s">
        <v>191</v>
      </c>
      <c r="B14" s="43" t="s">
        <v>138</v>
      </c>
      <c r="C14" s="45"/>
      <c r="D14" s="45"/>
      <c r="E14" s="45"/>
      <c r="F14" s="45"/>
      <c r="G14" s="45"/>
      <c r="H14" s="45"/>
      <c r="I14" s="45"/>
      <c r="J14" s="45"/>
      <c r="K14" s="45"/>
      <c r="L14" s="45"/>
      <c r="M14" s="45"/>
      <c r="N14" s="45"/>
      <c r="O14" s="45"/>
      <c r="P14" s="45"/>
      <c r="Q14" s="45"/>
      <c r="R14" s="45"/>
      <c r="S14" s="45"/>
      <c r="T14" s="45"/>
      <c r="U14" s="49"/>
      <c r="V14" s="49"/>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row>
    <row r="15" customFormat="false" ht="15" hidden="false" customHeight="false" outlineLevel="0" collapsed="false">
      <c r="A15" s="41" t="s">
        <v>141</v>
      </c>
      <c r="B15" s="43" t="s">
        <v>138</v>
      </c>
      <c r="C15" s="45"/>
      <c r="D15" s="45"/>
      <c r="E15" s="45"/>
      <c r="F15" s="45"/>
      <c r="G15" s="45"/>
      <c r="H15" s="45"/>
      <c r="I15" s="45"/>
      <c r="J15" s="45"/>
      <c r="K15" s="45"/>
      <c r="L15" s="45"/>
      <c r="M15" s="45"/>
      <c r="N15" s="45"/>
      <c r="O15" s="45"/>
      <c r="P15" s="45"/>
      <c r="Q15" s="45"/>
      <c r="R15" s="45"/>
      <c r="S15" s="45"/>
      <c r="T15" s="45"/>
      <c r="U15" s="45"/>
      <c r="V15" s="45"/>
      <c r="W15" s="49"/>
      <c r="X15" s="50" t="s">
        <v>186</v>
      </c>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row>
    <row r="16" customFormat="false" ht="15" hidden="false" customHeight="false" outlineLevel="0" collapsed="false">
      <c r="A16" s="41" t="s">
        <v>148</v>
      </c>
      <c r="B16" s="43" t="s">
        <v>146</v>
      </c>
      <c r="C16" s="45"/>
      <c r="D16" s="45"/>
      <c r="E16" s="45"/>
      <c r="F16" s="45"/>
      <c r="G16" s="45"/>
      <c r="H16" s="45"/>
      <c r="I16" s="45"/>
      <c r="J16" s="45"/>
      <c r="K16" s="45"/>
      <c r="L16" s="45"/>
      <c r="M16" s="45"/>
      <c r="N16" s="45"/>
      <c r="O16" s="45"/>
      <c r="P16" s="45"/>
      <c r="Q16" s="45"/>
      <c r="R16" s="45"/>
      <c r="S16" s="45"/>
      <c r="T16" s="45"/>
      <c r="U16" s="45"/>
      <c r="V16" s="45"/>
      <c r="W16" s="45"/>
      <c r="X16" s="45"/>
      <c r="Y16" s="51"/>
      <c r="Z16" s="51"/>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row>
    <row r="17" customFormat="false" ht="15" hidden="false" customHeight="false" outlineLevel="0" collapsed="false">
      <c r="A17" s="41" t="s">
        <v>192</v>
      </c>
      <c r="B17" s="43" t="s">
        <v>146</v>
      </c>
      <c r="C17" s="45"/>
      <c r="D17" s="45"/>
      <c r="E17" s="45"/>
      <c r="F17" s="45"/>
      <c r="G17" s="45"/>
      <c r="H17" s="45"/>
      <c r="I17" s="45"/>
      <c r="J17" s="45"/>
      <c r="K17" s="45"/>
      <c r="L17" s="45"/>
      <c r="M17" s="45"/>
      <c r="N17" s="45"/>
      <c r="O17" s="45"/>
      <c r="P17" s="45"/>
      <c r="Q17" s="45"/>
      <c r="R17" s="45"/>
      <c r="S17" s="45"/>
      <c r="T17" s="45"/>
      <c r="U17" s="45"/>
      <c r="V17" s="45"/>
      <c r="W17" s="45"/>
      <c r="X17" s="45"/>
      <c r="Y17" s="45"/>
      <c r="Z17" s="45"/>
      <c r="AA17" s="51"/>
      <c r="AB17" s="52" t="s">
        <v>186</v>
      </c>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row>
    <row r="18" customFormat="false" ht="15" hidden="false" customHeight="false" outlineLevel="0" collapsed="false">
      <c r="A18" s="41" t="s">
        <v>149</v>
      </c>
      <c r="B18" s="43" t="s">
        <v>146</v>
      </c>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51"/>
      <c r="AD18" s="52" t="s">
        <v>186</v>
      </c>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row>
    <row r="19" customFormat="false" ht="15" hidden="false" customHeight="false" outlineLevel="0" collapsed="false">
      <c r="A19" s="41" t="s">
        <v>156</v>
      </c>
      <c r="B19" s="43" t="s">
        <v>154</v>
      </c>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53"/>
      <c r="AF19" s="53"/>
      <c r="AG19" s="45"/>
      <c r="AH19" s="45"/>
      <c r="AI19" s="45"/>
      <c r="AJ19" s="45"/>
      <c r="AK19" s="45"/>
      <c r="AL19" s="45"/>
      <c r="AM19" s="45"/>
      <c r="AN19" s="45"/>
      <c r="AO19" s="45"/>
      <c r="AP19" s="45"/>
      <c r="AQ19" s="45"/>
      <c r="AR19" s="45"/>
      <c r="AS19" s="45"/>
      <c r="AT19" s="45"/>
      <c r="AU19" s="45"/>
      <c r="AV19" s="45"/>
      <c r="AW19" s="45"/>
      <c r="AX19" s="45"/>
      <c r="AY19" s="45"/>
      <c r="AZ19" s="45"/>
      <c r="BA19" s="45"/>
      <c r="BB19" s="45"/>
    </row>
    <row r="20" customFormat="false" ht="15" hidden="false" customHeight="false" outlineLevel="0" collapsed="false">
      <c r="A20" s="41" t="s">
        <v>157</v>
      </c>
      <c r="B20" s="43" t="s">
        <v>154</v>
      </c>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53"/>
      <c r="AH20" s="54" t="s">
        <v>186</v>
      </c>
      <c r="AI20" s="45"/>
      <c r="AJ20" s="45"/>
      <c r="AK20" s="45"/>
      <c r="AL20" s="45"/>
      <c r="AM20" s="45"/>
      <c r="AN20" s="45"/>
      <c r="AO20" s="45"/>
      <c r="AP20" s="45"/>
      <c r="AQ20" s="45"/>
      <c r="AR20" s="45"/>
      <c r="AS20" s="45"/>
      <c r="AT20" s="45"/>
      <c r="AU20" s="45"/>
      <c r="AV20" s="45"/>
      <c r="AW20" s="45"/>
      <c r="AX20" s="45"/>
      <c r="AY20" s="45"/>
      <c r="AZ20" s="45"/>
      <c r="BA20" s="45"/>
      <c r="BB20" s="45"/>
    </row>
    <row r="21" customFormat="false" ht="15" hidden="false" customHeight="false" outlineLevel="0" collapsed="false">
      <c r="A21" s="41" t="s">
        <v>165</v>
      </c>
      <c r="B21" s="43" t="s">
        <v>163</v>
      </c>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55"/>
      <c r="AJ21" s="55"/>
      <c r="AK21" s="45"/>
      <c r="AL21" s="45"/>
      <c r="AM21" s="45"/>
      <c r="AN21" s="45"/>
      <c r="AO21" s="45"/>
      <c r="AP21" s="45"/>
      <c r="AQ21" s="45"/>
      <c r="AR21" s="45"/>
      <c r="AS21" s="45"/>
      <c r="AT21" s="45"/>
      <c r="AU21" s="45"/>
      <c r="AV21" s="45"/>
      <c r="AW21" s="45"/>
      <c r="AX21" s="45"/>
      <c r="AY21" s="45"/>
      <c r="AZ21" s="45"/>
      <c r="BA21" s="45"/>
      <c r="BB21" s="45"/>
    </row>
    <row r="22" customFormat="false" ht="15" hidden="false" customHeight="false" outlineLevel="0" collapsed="false">
      <c r="A22" s="41" t="s">
        <v>193</v>
      </c>
      <c r="B22" s="43" t="s">
        <v>163</v>
      </c>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55"/>
      <c r="AL22" s="56" t="s">
        <v>186</v>
      </c>
      <c r="AM22" s="45"/>
      <c r="AN22" s="45"/>
      <c r="AO22" s="45"/>
      <c r="AP22" s="45"/>
      <c r="AQ22" s="45"/>
      <c r="AR22" s="45"/>
      <c r="AS22" s="45"/>
      <c r="AT22" s="45"/>
      <c r="AU22" s="45"/>
      <c r="AV22" s="45"/>
      <c r="AW22" s="45"/>
      <c r="AX22" s="45"/>
      <c r="AY22" s="45"/>
      <c r="AZ22" s="45"/>
      <c r="BA22" s="45"/>
      <c r="BB22" s="45"/>
    </row>
    <row r="23" customFormat="false" ht="15" hidden="false" customHeight="false" outlineLevel="0" collapsed="false">
      <c r="A23" s="41" t="s">
        <v>194</v>
      </c>
      <c r="B23" s="43" t="s">
        <v>163</v>
      </c>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55"/>
      <c r="AN23" s="55"/>
      <c r="AO23" s="45"/>
      <c r="AP23" s="45"/>
      <c r="AQ23" s="45"/>
      <c r="AR23" s="45"/>
      <c r="AS23" s="45"/>
      <c r="AT23" s="45"/>
      <c r="AU23" s="45"/>
      <c r="AV23" s="45"/>
      <c r="AW23" s="45"/>
      <c r="AX23" s="45"/>
      <c r="AY23" s="45"/>
      <c r="AZ23" s="45"/>
      <c r="BA23" s="45"/>
      <c r="BB23" s="45"/>
    </row>
    <row r="24" customFormat="false" ht="15" hidden="false" customHeight="false" outlineLevel="0" collapsed="false">
      <c r="A24" s="41" t="s">
        <v>166</v>
      </c>
      <c r="B24" s="43" t="s">
        <v>163</v>
      </c>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55"/>
      <c r="AP24" s="56" t="s">
        <v>186</v>
      </c>
      <c r="AQ24" s="45"/>
      <c r="AR24" s="45"/>
      <c r="AS24" s="45"/>
      <c r="AT24" s="45"/>
      <c r="AU24" s="45"/>
      <c r="AV24" s="45"/>
      <c r="AW24" s="45"/>
      <c r="AX24" s="45"/>
      <c r="AY24" s="45"/>
      <c r="AZ24" s="45"/>
      <c r="BA24" s="45"/>
      <c r="BB24" s="45"/>
    </row>
    <row r="25" customFormat="false" ht="15" hidden="false" customHeight="false" outlineLevel="0" collapsed="false">
      <c r="A25" s="41" t="s">
        <v>175</v>
      </c>
      <c r="B25" s="43" t="s">
        <v>172</v>
      </c>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57"/>
      <c r="AR25" s="58" t="s">
        <v>186</v>
      </c>
      <c r="AS25" s="45"/>
      <c r="AT25" s="45"/>
      <c r="AU25" s="45"/>
      <c r="AV25" s="45"/>
      <c r="AW25" s="45"/>
      <c r="AX25" s="45"/>
      <c r="AY25" s="45"/>
      <c r="AZ25" s="45"/>
      <c r="BA25" s="45"/>
      <c r="BB25" s="45"/>
    </row>
    <row r="26" customFormat="false" ht="15" hidden="false" customHeight="false" outlineLevel="0" collapsed="false">
      <c r="A26" s="41" t="s">
        <v>195</v>
      </c>
      <c r="B26" s="43" t="s">
        <v>172</v>
      </c>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57"/>
      <c r="AT26" s="58" t="s">
        <v>186</v>
      </c>
      <c r="AU26" s="45"/>
      <c r="AV26" s="45"/>
      <c r="AW26" s="45"/>
      <c r="AX26" s="45"/>
      <c r="AY26" s="45"/>
      <c r="AZ26" s="45"/>
      <c r="BA26" s="45"/>
      <c r="BB26" s="45"/>
    </row>
    <row r="27" customFormat="false" ht="15" hidden="false" customHeight="false" outlineLevel="0" collapsed="false">
      <c r="A27" s="41" t="s">
        <v>196</v>
      </c>
      <c r="B27" s="43" t="s">
        <v>172</v>
      </c>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57"/>
      <c r="AV27" s="57"/>
      <c r="AW27" s="45"/>
      <c r="AX27" s="45"/>
      <c r="AY27" s="45"/>
      <c r="AZ27" s="45"/>
      <c r="BA27" s="45"/>
      <c r="BB27" s="45"/>
    </row>
    <row r="28" customFormat="false" ht="15" hidden="false" customHeight="false" outlineLevel="0" collapsed="false">
      <c r="A28" s="41" t="s">
        <v>197</v>
      </c>
      <c r="B28" s="43" t="s">
        <v>172</v>
      </c>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57"/>
      <c r="AX28" s="57"/>
      <c r="AY28" s="45"/>
      <c r="AZ28" s="45"/>
      <c r="BA28" s="45"/>
      <c r="BB28" s="45"/>
    </row>
    <row r="29" customFormat="false" ht="15" hidden="false" customHeight="false" outlineLevel="0" collapsed="false">
      <c r="A29" s="41" t="s">
        <v>198</v>
      </c>
      <c r="B29" s="43" t="s">
        <v>172</v>
      </c>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57"/>
      <c r="AZ29" s="57"/>
      <c r="BA29" s="45"/>
      <c r="BB29" s="45"/>
    </row>
    <row r="30" customFormat="false" ht="15" hidden="false" customHeight="false" outlineLevel="0" collapsed="false">
      <c r="A30" s="41" t="s">
        <v>176</v>
      </c>
      <c r="B30" s="43" t="s">
        <v>172</v>
      </c>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57"/>
      <c r="BB30" s="58" t="s">
        <v>186</v>
      </c>
    </row>
    <row r="32" customFormat="false" ht="15" hidden="false" customHeight="false" outlineLevel="0" collapsed="false">
      <c r="A32" s="41" t="s">
        <v>199</v>
      </c>
    </row>
    <row r="33" customFormat="false" ht="15" hidden="false" customHeight="false" outlineLevel="0" collapsed="false">
      <c r="A33" s="59"/>
      <c r="B33" s="43" t="s">
        <v>200</v>
      </c>
    </row>
    <row r="34" customFormat="false" ht="15" hidden="false" customHeight="false" outlineLevel="0" collapsed="false">
      <c r="A34" s="60"/>
      <c r="B34" s="43" t="s">
        <v>201</v>
      </c>
    </row>
    <row r="35" customFormat="false" ht="15" hidden="false" customHeight="false" outlineLevel="0" collapsed="false">
      <c r="A35" s="61"/>
      <c r="B35" s="43" t="s">
        <v>202</v>
      </c>
    </row>
    <row r="36" customFormat="false" ht="15" hidden="false" customHeight="false" outlineLevel="0" collapsed="false">
      <c r="A36" s="62"/>
      <c r="B36" s="43" t="s">
        <v>203</v>
      </c>
    </row>
    <row r="37" customFormat="false" ht="15" hidden="false" customHeight="false" outlineLevel="0" collapsed="false">
      <c r="A37" s="63"/>
      <c r="B37" s="43" t="s">
        <v>204</v>
      </c>
    </row>
    <row r="38" customFormat="false" ht="15" hidden="false" customHeight="false" outlineLevel="0" collapsed="false">
      <c r="A38" s="64"/>
      <c r="B38" s="43" t="s">
        <v>205</v>
      </c>
    </row>
    <row r="39" customFormat="false" ht="15" hidden="false" customHeight="false" outlineLevel="0" collapsed="false">
      <c r="A39" s="65"/>
      <c r="B39" s="43" t="s">
        <v>206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8"/>
    <col collapsed="false" customWidth="true" hidden="false" outlineLevel="0" max="5" min="4" style="0" width="14"/>
    <col collapsed="false" customWidth="true" hidden="false" outlineLevel="0" max="6" min="6" style="0" width="46"/>
    <col collapsed="false" customWidth="true" hidden="false" outlineLevel="0" max="7" min="7" style="0" width="42"/>
    <col collapsed="false" customWidth="true" hidden="false" outlineLevel="0" max="8" min="8" style="0" width="34"/>
    <col collapsed="false" customWidth="true" hidden="false" outlineLevel="0" max="9" min="9" style="0" width="14"/>
    <col collapsed="false" customWidth="true" hidden="false" outlineLevel="0" max="11" min="10" style="0" width="30"/>
    <col collapsed="false" customWidth="true" hidden="false" outlineLevel="0" max="14" min="12" style="0" width="8"/>
    <col collapsed="false" customWidth="true" hidden="false" outlineLevel="0" max="15" min="15" style="0" width="9"/>
  </cols>
  <sheetData>
    <row r="1" customFormat="false" ht="24" hidden="false" customHeight="true" outlineLevel="0" collapsed="false">
      <c r="A1" s="1" t="s">
        <v>207</v>
      </c>
    </row>
    <row r="2" customFormat="false" ht="15" hidden="false" customHeight="false" outlineLevel="0" collapsed="false">
      <c r="A2" s="2" t="s">
        <v>208</v>
      </c>
    </row>
    <row r="3" customFormat="false" ht="31.5" hidden="false" customHeight="true" outlineLevel="0" collapsed="false">
      <c r="A3" s="5" t="s">
        <v>60</v>
      </c>
      <c r="B3" s="5" t="s">
        <v>31</v>
      </c>
      <c r="C3" s="5" t="s">
        <v>116</v>
      </c>
      <c r="D3" s="5" t="s">
        <v>32</v>
      </c>
      <c r="E3" s="5" t="s">
        <v>33</v>
      </c>
      <c r="F3" s="5" t="s">
        <v>209</v>
      </c>
      <c r="G3" s="5" t="s">
        <v>210</v>
      </c>
      <c r="H3" s="5" t="s">
        <v>211</v>
      </c>
      <c r="I3" s="5" t="s">
        <v>59</v>
      </c>
      <c r="J3" s="5" t="s">
        <v>212</v>
      </c>
      <c r="K3" s="5" t="s">
        <v>213</v>
      </c>
      <c r="L3" s="5" t="s">
        <v>37</v>
      </c>
      <c r="M3" s="5" t="s">
        <v>38</v>
      </c>
      <c r="N3" s="5" t="s">
        <v>214</v>
      </c>
      <c r="O3" s="5" t="s">
        <v>36</v>
      </c>
    </row>
    <row r="4" customFormat="false" ht="31.5" hidden="false" customHeight="true" outlineLevel="0" collapsed="false">
      <c r="A4" s="24" t="s">
        <v>124</v>
      </c>
      <c r="B4" s="66" t="s">
        <v>121</v>
      </c>
      <c r="C4" s="24" t="s">
        <v>215</v>
      </c>
      <c r="D4" s="9" t="n">
        <f aca="false">INDEX('Daily Plan'!$B$4:$B$263,MATCH(A4,'Daily Plan'!$C$4:$C$263,0))</f>
        <v>46314</v>
      </c>
      <c r="E4" s="9" t="n">
        <f aca="false">INDEX('Daily Plan'!$B$4:$B$263,MATCH(A4,'Daily Plan'!$C$4:$C$263,0)+9)</f>
        <v>46325</v>
      </c>
      <c r="F4" s="24" t="s">
        <v>216</v>
      </c>
      <c r="G4" s="24" t="s">
        <v>217</v>
      </c>
      <c r="H4" s="24" t="s">
        <v>218</v>
      </c>
      <c r="I4" s="24"/>
      <c r="J4" s="24" t="s">
        <v>219</v>
      </c>
      <c r="K4" s="24" t="s">
        <v>220</v>
      </c>
      <c r="L4" s="10" t="n">
        <f aca="false">SUMIFS('Daily Plan'!$N$4:$N$263,'Daily Plan'!$C$4:$C$263,A4)</f>
        <v>40</v>
      </c>
      <c r="M4" s="10" t="n">
        <f aca="false">SUMIFS('Daily Plan'!$O$4:$O$263,'Daily Plan'!$C$4:$C$263,A4)</f>
        <v>0</v>
      </c>
      <c r="N4" s="10" t="n">
        <f aca="false">COUNTIFS('Daily Plan'!$C$4:$C$263,A4,'Daily Plan'!$P$4:$P$263,"Xong")</f>
        <v>0</v>
      </c>
      <c r="O4" s="32" t="n">
        <f aca="false">IFERROR(N4/COUNTIF('Daily Plan'!$C$4:$C$263,A4),0)</f>
        <v>0</v>
      </c>
    </row>
    <row r="5" customFormat="false" ht="31.5" hidden="false" customHeight="true" outlineLevel="0" collapsed="false">
      <c r="A5" s="24" t="s">
        <v>125</v>
      </c>
      <c r="B5" s="66" t="s">
        <v>121</v>
      </c>
      <c r="C5" s="24" t="s">
        <v>221</v>
      </c>
      <c r="D5" s="9" t="n">
        <f aca="false">INDEX('Daily Plan'!$B$4:$B$263,MATCH(A5,'Daily Plan'!$C$4:$C$263,0))</f>
        <v>46328</v>
      </c>
      <c r="E5" s="9" t="n">
        <f aca="false">INDEX('Daily Plan'!$B$4:$B$263,MATCH(A5,'Daily Plan'!$C$4:$C$263,0)+9)</f>
        <v>46339</v>
      </c>
      <c r="F5" s="24" t="s">
        <v>222</v>
      </c>
      <c r="G5" s="24" t="s">
        <v>223</v>
      </c>
      <c r="H5" s="24" t="s">
        <v>224</v>
      </c>
      <c r="I5" s="39" t="s">
        <v>129</v>
      </c>
      <c r="J5" s="24" t="s">
        <v>225</v>
      </c>
      <c r="K5" s="24" t="s">
        <v>226</v>
      </c>
      <c r="L5" s="10" t="n">
        <f aca="false">SUMIFS('Daily Plan'!$N$4:$N$263,'Daily Plan'!$C$4:$C$263,A5)</f>
        <v>40</v>
      </c>
      <c r="M5" s="10" t="n">
        <f aca="false">SUMIFS('Daily Plan'!$O$4:$O$263,'Daily Plan'!$C$4:$C$263,A5)</f>
        <v>0</v>
      </c>
      <c r="N5" s="10" t="n">
        <f aca="false">COUNTIFS('Daily Plan'!$C$4:$C$263,A5,'Daily Plan'!$P$4:$P$263,"Xong")</f>
        <v>0</v>
      </c>
      <c r="O5" s="32" t="n">
        <f aca="false">IFERROR(N5/COUNTIF('Daily Plan'!$C$4:$C$263,A5),0)</f>
        <v>0</v>
      </c>
    </row>
    <row r="6" customFormat="false" ht="31.5" hidden="false" customHeight="true" outlineLevel="0" collapsed="false">
      <c r="A6" s="24" t="s">
        <v>132</v>
      </c>
      <c r="B6" s="67" t="s">
        <v>130</v>
      </c>
      <c r="C6" s="24" t="s">
        <v>227</v>
      </c>
      <c r="D6" s="9" t="n">
        <f aca="false">INDEX('Daily Plan'!$B$4:$B$263,MATCH(A6,'Daily Plan'!$C$4:$C$263,0))</f>
        <v>46342</v>
      </c>
      <c r="E6" s="9" t="n">
        <f aca="false">INDEX('Daily Plan'!$B$4:$B$263,MATCH(A6,'Daily Plan'!$C$4:$C$263,0)+9)</f>
        <v>46356</v>
      </c>
      <c r="F6" s="24" t="s">
        <v>228</v>
      </c>
      <c r="G6" s="24" t="s">
        <v>229</v>
      </c>
      <c r="H6" s="24" t="s">
        <v>230</v>
      </c>
      <c r="I6" s="24"/>
      <c r="J6" s="24" t="s">
        <v>231</v>
      </c>
      <c r="K6" s="24" t="s">
        <v>232</v>
      </c>
      <c r="L6" s="10" t="n">
        <f aca="false">SUMIFS('Daily Plan'!$N$4:$N$263,'Daily Plan'!$C$4:$C$263,A6)</f>
        <v>40</v>
      </c>
      <c r="M6" s="10" t="n">
        <f aca="false">SUMIFS('Daily Plan'!$O$4:$O$263,'Daily Plan'!$C$4:$C$263,A6)</f>
        <v>0</v>
      </c>
      <c r="N6" s="10" t="n">
        <f aca="false">COUNTIFS('Daily Plan'!$C$4:$C$263,A6,'Daily Plan'!$P$4:$P$263,"Xong")</f>
        <v>0</v>
      </c>
      <c r="O6" s="32" t="n">
        <f aca="false">IFERROR(N6/COUNTIF('Daily Plan'!$C$4:$C$263,A6),0)</f>
        <v>0</v>
      </c>
    </row>
    <row r="7" customFormat="false" ht="31.5" hidden="false" customHeight="true" outlineLevel="0" collapsed="false">
      <c r="A7" s="24" t="s">
        <v>187</v>
      </c>
      <c r="B7" s="67" t="s">
        <v>130</v>
      </c>
      <c r="C7" s="24" t="s">
        <v>233</v>
      </c>
      <c r="D7" s="9" t="n">
        <f aca="false">INDEX('Daily Plan'!$B$4:$B$263,MATCH(A7,'Daily Plan'!$C$4:$C$263,0))</f>
        <v>46357</v>
      </c>
      <c r="E7" s="9" t="n">
        <f aca="false">INDEX('Daily Plan'!$B$4:$B$263,MATCH(A7,'Daily Plan'!$C$4:$C$263,0)+9)</f>
        <v>46370</v>
      </c>
      <c r="F7" s="24" t="s">
        <v>234</v>
      </c>
      <c r="G7" s="24" t="s">
        <v>235</v>
      </c>
      <c r="H7" s="24" t="s">
        <v>236</v>
      </c>
      <c r="I7" s="24"/>
      <c r="J7" s="24" t="s">
        <v>237</v>
      </c>
      <c r="K7" s="24" t="s">
        <v>238</v>
      </c>
      <c r="L7" s="10" t="n">
        <f aca="false">SUMIFS('Daily Plan'!$N$4:$N$263,'Daily Plan'!$C$4:$C$263,A7)</f>
        <v>40</v>
      </c>
      <c r="M7" s="10" t="n">
        <f aca="false">SUMIFS('Daily Plan'!$O$4:$O$263,'Daily Plan'!$C$4:$C$263,A7)</f>
        <v>0</v>
      </c>
      <c r="N7" s="10" t="n">
        <f aca="false">COUNTIFS('Daily Plan'!$C$4:$C$263,A7,'Daily Plan'!$P$4:$P$263,"Xong")</f>
        <v>0</v>
      </c>
      <c r="O7" s="32" t="n">
        <f aca="false">IFERROR(N7/COUNTIF('Daily Plan'!$C$4:$C$263,A7),0)</f>
        <v>0</v>
      </c>
    </row>
    <row r="8" customFormat="false" ht="31.5" hidden="false" customHeight="true" outlineLevel="0" collapsed="false">
      <c r="A8" s="24" t="s">
        <v>133</v>
      </c>
      <c r="B8" s="67" t="s">
        <v>130</v>
      </c>
      <c r="C8" s="24" t="s">
        <v>239</v>
      </c>
      <c r="D8" s="9" t="n">
        <f aca="false">INDEX('Daily Plan'!$B$4:$B$263,MATCH(A8,'Daily Plan'!$C$4:$C$263,0))</f>
        <v>46371</v>
      </c>
      <c r="E8" s="9" t="n">
        <f aca="false">INDEX('Daily Plan'!$B$4:$B$263,MATCH(A8,'Daily Plan'!$C$4:$C$263,0)+9)</f>
        <v>46384</v>
      </c>
      <c r="F8" s="24" t="s">
        <v>240</v>
      </c>
      <c r="G8" s="24" t="s">
        <v>241</v>
      </c>
      <c r="H8" s="24" t="s">
        <v>242</v>
      </c>
      <c r="I8" s="39" t="s">
        <v>243</v>
      </c>
      <c r="J8" s="24" t="s">
        <v>244</v>
      </c>
      <c r="K8" s="24" t="s">
        <v>245</v>
      </c>
      <c r="L8" s="10" t="n">
        <f aca="false">SUMIFS('Daily Plan'!$N$4:$N$263,'Daily Plan'!$C$4:$C$263,A8)</f>
        <v>40</v>
      </c>
      <c r="M8" s="10" t="n">
        <f aca="false">SUMIFS('Daily Plan'!$O$4:$O$263,'Daily Plan'!$C$4:$C$263,A8)</f>
        <v>0</v>
      </c>
      <c r="N8" s="10" t="n">
        <f aca="false">COUNTIFS('Daily Plan'!$C$4:$C$263,A8,'Daily Plan'!$P$4:$P$263,"Xong")</f>
        <v>0</v>
      </c>
      <c r="O8" s="32" t="n">
        <f aca="false">IFERROR(N8/COUNTIF('Daily Plan'!$C$4:$C$263,A8),0)</f>
        <v>0</v>
      </c>
    </row>
    <row r="9" customFormat="false" ht="31.5" hidden="false" customHeight="true" outlineLevel="0" collapsed="false">
      <c r="A9" s="24" t="s">
        <v>140</v>
      </c>
      <c r="B9" s="68" t="s">
        <v>138</v>
      </c>
      <c r="C9" s="24" t="s">
        <v>246</v>
      </c>
      <c r="D9" s="9" t="n">
        <f aca="false">INDEX('Daily Plan'!$B$4:$B$263,MATCH(A9,'Daily Plan'!$C$4:$C$263,0))</f>
        <v>46385</v>
      </c>
      <c r="E9" s="9" t="n">
        <f aca="false">INDEX('Daily Plan'!$B$4:$B$263,MATCH(A9,'Daily Plan'!$C$4:$C$263,0)+9)</f>
        <v>46399</v>
      </c>
      <c r="F9" s="24" t="s">
        <v>247</v>
      </c>
      <c r="G9" s="24" t="s">
        <v>248</v>
      </c>
      <c r="H9" s="24" t="s">
        <v>249</v>
      </c>
      <c r="I9" s="24"/>
      <c r="J9" s="24" t="s">
        <v>250</v>
      </c>
      <c r="K9" s="24" t="s">
        <v>251</v>
      </c>
      <c r="L9" s="10" t="n">
        <f aca="false">SUMIFS('Daily Plan'!$N$4:$N$263,'Daily Plan'!$C$4:$C$263,A9)</f>
        <v>40</v>
      </c>
      <c r="M9" s="10" t="n">
        <f aca="false">SUMIFS('Daily Plan'!$O$4:$O$263,'Daily Plan'!$C$4:$C$263,A9)</f>
        <v>0</v>
      </c>
      <c r="N9" s="10" t="n">
        <f aca="false">COUNTIFS('Daily Plan'!$C$4:$C$263,A9,'Daily Plan'!$P$4:$P$263,"Xong")</f>
        <v>0</v>
      </c>
      <c r="O9" s="32" t="n">
        <f aca="false">IFERROR(N9/COUNTIF('Daily Plan'!$C$4:$C$263,A9),0)</f>
        <v>0</v>
      </c>
    </row>
    <row r="10" customFormat="false" ht="31.5" hidden="false" customHeight="true" outlineLevel="0" collapsed="false">
      <c r="A10" s="24" t="s">
        <v>188</v>
      </c>
      <c r="B10" s="68" t="s">
        <v>138</v>
      </c>
      <c r="C10" s="24" t="s">
        <v>252</v>
      </c>
      <c r="D10" s="9" t="n">
        <f aca="false">INDEX('Daily Plan'!$B$4:$B$263,MATCH(A10,'Daily Plan'!$C$4:$C$263,0))</f>
        <v>46400</v>
      </c>
      <c r="E10" s="9" t="n">
        <f aca="false">INDEX('Daily Plan'!$B$4:$B$263,MATCH(A10,'Daily Plan'!$C$4:$C$263,0)+9)</f>
        <v>46413</v>
      </c>
      <c r="F10" s="24" t="s">
        <v>253</v>
      </c>
      <c r="G10" s="24" t="s">
        <v>254</v>
      </c>
      <c r="H10" s="24" t="s">
        <v>255</v>
      </c>
      <c r="I10" s="24"/>
      <c r="J10" s="24" t="s">
        <v>256</v>
      </c>
      <c r="K10" s="24" t="s">
        <v>257</v>
      </c>
      <c r="L10" s="10" t="n">
        <f aca="false">SUMIFS('Daily Plan'!$N$4:$N$263,'Daily Plan'!$C$4:$C$263,A10)</f>
        <v>40</v>
      </c>
      <c r="M10" s="10" t="n">
        <f aca="false">SUMIFS('Daily Plan'!$O$4:$O$263,'Daily Plan'!$C$4:$C$263,A10)</f>
        <v>0</v>
      </c>
      <c r="N10" s="10" t="n">
        <f aca="false">COUNTIFS('Daily Plan'!$C$4:$C$263,A10,'Daily Plan'!$P$4:$P$263,"Xong")</f>
        <v>0</v>
      </c>
      <c r="O10" s="32" t="n">
        <f aca="false">IFERROR(N10/COUNTIF('Daily Plan'!$C$4:$C$263,A10),0)</f>
        <v>0</v>
      </c>
    </row>
    <row r="11" customFormat="false" ht="31.5" hidden="false" customHeight="true" outlineLevel="0" collapsed="false">
      <c r="A11" s="24" t="s">
        <v>189</v>
      </c>
      <c r="B11" s="68" t="s">
        <v>138</v>
      </c>
      <c r="C11" s="24" t="s">
        <v>258</v>
      </c>
      <c r="D11" s="9" t="n">
        <f aca="false">INDEX('Daily Plan'!$B$4:$B$263,MATCH(A11,'Daily Plan'!$C$4:$C$263,0))</f>
        <v>46414</v>
      </c>
      <c r="E11" s="9" t="n">
        <f aca="false">INDEX('Daily Plan'!$B$4:$B$263,MATCH(A11,'Daily Plan'!$C$4:$C$263,0)+9)</f>
        <v>46434</v>
      </c>
      <c r="F11" s="24" t="s">
        <v>259</v>
      </c>
      <c r="G11" s="24" t="s">
        <v>260</v>
      </c>
      <c r="H11" s="24" t="s">
        <v>261</v>
      </c>
      <c r="I11" s="24"/>
      <c r="J11" s="24" t="s">
        <v>262</v>
      </c>
      <c r="K11" s="24" t="s">
        <v>263</v>
      </c>
      <c r="L11" s="10" t="n">
        <f aca="false">SUMIFS('Daily Plan'!$N$4:$N$263,'Daily Plan'!$C$4:$C$263,A11)</f>
        <v>40</v>
      </c>
      <c r="M11" s="10" t="n">
        <f aca="false">SUMIFS('Daily Plan'!$O$4:$O$263,'Daily Plan'!$C$4:$C$263,A11)</f>
        <v>0</v>
      </c>
      <c r="N11" s="10" t="n">
        <f aca="false">COUNTIFS('Daily Plan'!$C$4:$C$263,A11,'Daily Plan'!$P$4:$P$263,"Xong")</f>
        <v>0</v>
      </c>
      <c r="O11" s="32" t="n">
        <f aca="false">IFERROR(N11/COUNTIF('Daily Plan'!$C$4:$C$263,A11),0)</f>
        <v>0</v>
      </c>
    </row>
    <row r="12" customFormat="false" ht="30" hidden="false" customHeight="true" outlineLevel="0" collapsed="false">
      <c r="A12" s="24" t="s">
        <v>190</v>
      </c>
      <c r="B12" s="68" t="s">
        <v>138</v>
      </c>
      <c r="C12" s="24" t="s">
        <v>264</v>
      </c>
      <c r="D12" s="9" t="n">
        <f aca="false">INDEX('Daily Plan'!$B$4:$B$263,MATCH(A12,'Daily Plan'!$C$4:$C$263,0))</f>
        <v>46435</v>
      </c>
      <c r="E12" s="9" t="n">
        <f aca="false">INDEX('Daily Plan'!$B$4:$B$263,MATCH(A12,'Daily Plan'!$C$4:$C$263,0)+9)</f>
        <v>46448</v>
      </c>
      <c r="F12" s="24" t="s">
        <v>265</v>
      </c>
      <c r="G12" s="24" t="s">
        <v>266</v>
      </c>
      <c r="H12" s="24" t="s">
        <v>267</v>
      </c>
      <c r="I12" s="24"/>
      <c r="J12" s="24" t="s">
        <v>268</v>
      </c>
      <c r="K12" s="24" t="s">
        <v>269</v>
      </c>
      <c r="L12" s="10" t="n">
        <f aca="false">SUMIFS('Daily Plan'!$N$4:$N$263,'Daily Plan'!$C$4:$C$263,A12)</f>
        <v>40</v>
      </c>
      <c r="M12" s="10" t="n">
        <f aca="false">SUMIFS('Daily Plan'!$O$4:$O$263,'Daily Plan'!$C$4:$C$263,A12)</f>
        <v>0</v>
      </c>
      <c r="N12" s="10" t="n">
        <f aca="false">COUNTIFS('Daily Plan'!$C$4:$C$263,A12,'Daily Plan'!$P$4:$P$263,"Xong")</f>
        <v>0</v>
      </c>
      <c r="O12" s="32" t="n">
        <f aca="false">IFERROR(N12/COUNTIF('Daily Plan'!$C$4:$C$263,A12),0)</f>
        <v>0</v>
      </c>
    </row>
    <row r="13" customFormat="false" ht="30" hidden="false" customHeight="true" outlineLevel="0" collapsed="false">
      <c r="A13" s="24" t="s">
        <v>191</v>
      </c>
      <c r="B13" s="68" t="s">
        <v>138</v>
      </c>
      <c r="C13" s="24" t="s">
        <v>270</v>
      </c>
      <c r="D13" s="9" t="n">
        <f aca="false">INDEX('Daily Plan'!$B$4:$B$263,MATCH(A13,'Daily Plan'!$C$4:$C$263,0))</f>
        <v>46449</v>
      </c>
      <c r="E13" s="9" t="n">
        <f aca="false">INDEX('Daily Plan'!$B$4:$B$263,MATCH(A13,'Daily Plan'!$C$4:$C$263,0)+9)</f>
        <v>46462</v>
      </c>
      <c r="F13" s="24" t="s">
        <v>271</v>
      </c>
      <c r="G13" s="24" t="s">
        <v>272</v>
      </c>
      <c r="H13" s="24" t="s">
        <v>273</v>
      </c>
      <c r="I13" s="24"/>
      <c r="J13" s="24" t="s">
        <v>274</v>
      </c>
      <c r="K13" s="24" t="s">
        <v>275</v>
      </c>
      <c r="L13" s="10" t="n">
        <f aca="false">SUMIFS('Daily Plan'!$N$4:$N$263,'Daily Plan'!$C$4:$C$263,A13)</f>
        <v>40</v>
      </c>
      <c r="M13" s="10" t="n">
        <f aca="false">SUMIFS('Daily Plan'!$O$4:$O$263,'Daily Plan'!$C$4:$C$263,A13)</f>
        <v>0</v>
      </c>
      <c r="N13" s="10" t="n">
        <f aca="false">COUNTIFS('Daily Plan'!$C$4:$C$263,A13,'Daily Plan'!$P$4:$P$263,"Xong")</f>
        <v>0</v>
      </c>
      <c r="O13" s="32" t="n">
        <f aca="false">IFERROR(N13/COUNTIF('Daily Plan'!$C$4:$C$263,A13),0)</f>
        <v>0</v>
      </c>
    </row>
    <row r="14" customFormat="false" ht="31.5" hidden="false" customHeight="true" outlineLevel="0" collapsed="false">
      <c r="A14" s="24" t="s">
        <v>141</v>
      </c>
      <c r="B14" s="68" t="s">
        <v>138</v>
      </c>
      <c r="C14" s="24" t="s">
        <v>276</v>
      </c>
      <c r="D14" s="9" t="n">
        <f aca="false">INDEX('Daily Plan'!$B$4:$B$263,MATCH(A14,'Daily Plan'!$C$4:$C$263,0))</f>
        <v>46463</v>
      </c>
      <c r="E14" s="9" t="n">
        <f aca="false">INDEX('Daily Plan'!$B$4:$B$263,MATCH(A14,'Daily Plan'!$C$4:$C$263,0)+9)</f>
        <v>46476</v>
      </c>
      <c r="F14" s="24" t="s">
        <v>277</v>
      </c>
      <c r="G14" s="24" t="s">
        <v>278</v>
      </c>
      <c r="H14" s="24" t="s">
        <v>279</v>
      </c>
      <c r="I14" s="39" t="s">
        <v>145</v>
      </c>
      <c r="J14" s="24" t="s">
        <v>280</v>
      </c>
      <c r="K14" s="24" t="s">
        <v>281</v>
      </c>
      <c r="L14" s="10" t="n">
        <f aca="false">SUMIFS('Daily Plan'!$N$4:$N$263,'Daily Plan'!$C$4:$C$263,A14)</f>
        <v>40</v>
      </c>
      <c r="M14" s="10" t="n">
        <f aca="false">SUMIFS('Daily Plan'!$O$4:$O$263,'Daily Plan'!$C$4:$C$263,A14)</f>
        <v>0</v>
      </c>
      <c r="N14" s="10" t="n">
        <f aca="false">COUNTIFS('Daily Plan'!$C$4:$C$263,A14,'Daily Plan'!$P$4:$P$263,"Xong")</f>
        <v>0</v>
      </c>
      <c r="O14" s="32" t="n">
        <f aca="false">IFERROR(N14/COUNTIF('Daily Plan'!$C$4:$C$263,A14),0)</f>
        <v>0</v>
      </c>
    </row>
    <row r="15" customFormat="false" ht="30" hidden="false" customHeight="true" outlineLevel="0" collapsed="false">
      <c r="A15" s="24" t="s">
        <v>148</v>
      </c>
      <c r="B15" s="69" t="s">
        <v>146</v>
      </c>
      <c r="C15" s="24" t="s">
        <v>282</v>
      </c>
      <c r="D15" s="9" t="n">
        <f aca="false">INDEX('Daily Plan'!$B$4:$B$263,MATCH(A15,'Daily Plan'!$C$4:$C$263,0))</f>
        <v>46477</v>
      </c>
      <c r="E15" s="9" t="n">
        <f aca="false">INDEX('Daily Plan'!$B$4:$B$263,MATCH(A15,'Daily Plan'!$C$4:$C$263,0)+9)</f>
        <v>46490</v>
      </c>
      <c r="F15" s="24" t="s">
        <v>283</v>
      </c>
      <c r="G15" s="24" t="s">
        <v>284</v>
      </c>
      <c r="H15" s="24" t="s">
        <v>285</v>
      </c>
      <c r="I15" s="24"/>
      <c r="J15" s="24" t="s">
        <v>286</v>
      </c>
      <c r="K15" s="24" t="s">
        <v>287</v>
      </c>
      <c r="L15" s="10" t="n">
        <f aca="false">SUMIFS('Daily Plan'!$N$4:$N$263,'Daily Plan'!$C$4:$C$263,A15)</f>
        <v>40</v>
      </c>
      <c r="M15" s="10" t="n">
        <f aca="false">SUMIFS('Daily Plan'!$O$4:$O$263,'Daily Plan'!$C$4:$C$263,A15)</f>
        <v>0</v>
      </c>
      <c r="N15" s="10" t="n">
        <f aca="false">COUNTIFS('Daily Plan'!$C$4:$C$263,A15,'Daily Plan'!$P$4:$P$263,"Xong")</f>
        <v>0</v>
      </c>
      <c r="O15" s="32" t="n">
        <f aca="false">IFERROR(N15/COUNTIF('Daily Plan'!$C$4:$C$263,A15),0)</f>
        <v>0</v>
      </c>
    </row>
    <row r="16" customFormat="false" ht="31.5" hidden="false" customHeight="true" outlineLevel="0" collapsed="false">
      <c r="A16" s="24" t="s">
        <v>192</v>
      </c>
      <c r="B16" s="69" t="s">
        <v>146</v>
      </c>
      <c r="C16" s="24" t="s">
        <v>288</v>
      </c>
      <c r="D16" s="9" t="n">
        <f aca="false">INDEX('Daily Plan'!$B$4:$B$263,MATCH(A16,'Daily Plan'!$C$4:$C$263,0))</f>
        <v>46491</v>
      </c>
      <c r="E16" s="9" t="n">
        <f aca="false">INDEX('Daily Plan'!$B$4:$B$263,MATCH(A16,'Daily Plan'!$C$4:$C$263,0)+9)</f>
        <v>46505</v>
      </c>
      <c r="F16" s="24" t="s">
        <v>289</v>
      </c>
      <c r="G16" s="24" t="s">
        <v>290</v>
      </c>
      <c r="H16" s="24" t="s">
        <v>291</v>
      </c>
      <c r="I16" s="39" t="s">
        <v>292</v>
      </c>
      <c r="J16" s="24" t="s">
        <v>293</v>
      </c>
      <c r="K16" s="24" t="s">
        <v>294</v>
      </c>
      <c r="L16" s="10" t="n">
        <f aca="false">SUMIFS('Daily Plan'!$N$4:$N$263,'Daily Plan'!$C$4:$C$263,A16)</f>
        <v>40</v>
      </c>
      <c r="M16" s="10" t="n">
        <f aca="false">SUMIFS('Daily Plan'!$O$4:$O$263,'Daily Plan'!$C$4:$C$263,A16)</f>
        <v>0</v>
      </c>
      <c r="N16" s="10" t="n">
        <f aca="false">COUNTIFS('Daily Plan'!$C$4:$C$263,A16,'Daily Plan'!$P$4:$P$263,"Xong")</f>
        <v>0</v>
      </c>
      <c r="O16" s="32" t="n">
        <f aca="false">IFERROR(N16/COUNTIF('Daily Plan'!$C$4:$C$263,A16),0)</f>
        <v>0</v>
      </c>
    </row>
    <row r="17" customFormat="false" ht="31.5" hidden="false" customHeight="true" outlineLevel="0" collapsed="false">
      <c r="A17" s="24" t="s">
        <v>149</v>
      </c>
      <c r="B17" s="69" t="s">
        <v>146</v>
      </c>
      <c r="C17" s="24" t="s">
        <v>295</v>
      </c>
      <c r="D17" s="9" t="n">
        <f aca="false">INDEX('Daily Plan'!$B$4:$B$263,MATCH(A17,'Daily Plan'!$C$4:$C$263,0))</f>
        <v>46506</v>
      </c>
      <c r="E17" s="9" t="n">
        <f aca="false">INDEX('Daily Plan'!$B$4:$B$263,MATCH(A17,'Daily Plan'!$C$4:$C$263,0)+9)</f>
        <v>46520</v>
      </c>
      <c r="F17" s="24" t="s">
        <v>296</v>
      </c>
      <c r="G17" s="24" t="s">
        <v>297</v>
      </c>
      <c r="H17" s="24" t="s">
        <v>298</v>
      </c>
      <c r="I17" s="39" t="s">
        <v>299</v>
      </c>
      <c r="J17" s="24" t="s">
        <v>300</v>
      </c>
      <c r="K17" s="24" t="s">
        <v>301</v>
      </c>
      <c r="L17" s="10" t="n">
        <f aca="false">SUMIFS('Daily Plan'!$N$4:$N$263,'Daily Plan'!$C$4:$C$263,A17)</f>
        <v>40</v>
      </c>
      <c r="M17" s="10" t="n">
        <f aca="false">SUMIFS('Daily Plan'!$O$4:$O$263,'Daily Plan'!$C$4:$C$263,A17)</f>
        <v>0</v>
      </c>
      <c r="N17" s="10" t="n">
        <f aca="false">COUNTIFS('Daily Plan'!$C$4:$C$263,A17,'Daily Plan'!$P$4:$P$263,"Xong")</f>
        <v>0</v>
      </c>
      <c r="O17" s="32" t="n">
        <f aca="false">IFERROR(N17/COUNTIF('Daily Plan'!$C$4:$C$263,A17),0)</f>
        <v>0</v>
      </c>
    </row>
    <row r="18" customFormat="false" ht="31.5" hidden="false" customHeight="true" outlineLevel="0" collapsed="false">
      <c r="A18" s="24" t="s">
        <v>156</v>
      </c>
      <c r="B18" s="70" t="s">
        <v>154</v>
      </c>
      <c r="C18" s="24" t="s">
        <v>302</v>
      </c>
      <c r="D18" s="9" t="n">
        <f aca="false">INDEX('Daily Plan'!$B$4:$B$263,MATCH(A18,'Daily Plan'!$C$4:$C$263,0))</f>
        <v>46521</v>
      </c>
      <c r="E18" s="9" t="n">
        <f aca="false">INDEX('Daily Plan'!$B$4:$B$263,MATCH(A18,'Daily Plan'!$C$4:$C$263,0)+9)</f>
        <v>46534</v>
      </c>
      <c r="F18" s="24" t="s">
        <v>303</v>
      </c>
      <c r="G18" s="24" t="s">
        <v>304</v>
      </c>
      <c r="H18" s="24" t="s">
        <v>305</v>
      </c>
      <c r="I18" s="24"/>
      <c r="J18" s="24" t="s">
        <v>306</v>
      </c>
      <c r="K18" s="24" t="s">
        <v>307</v>
      </c>
      <c r="L18" s="10" t="n">
        <f aca="false">SUMIFS('Daily Plan'!$N$4:$N$263,'Daily Plan'!$C$4:$C$263,A18)</f>
        <v>40</v>
      </c>
      <c r="M18" s="10" t="n">
        <f aca="false">SUMIFS('Daily Plan'!$O$4:$O$263,'Daily Plan'!$C$4:$C$263,A18)</f>
        <v>0</v>
      </c>
      <c r="N18" s="10" t="n">
        <f aca="false">COUNTIFS('Daily Plan'!$C$4:$C$263,A18,'Daily Plan'!$P$4:$P$263,"Xong")</f>
        <v>0</v>
      </c>
      <c r="O18" s="32" t="n">
        <f aca="false">IFERROR(N18/COUNTIF('Daily Plan'!$C$4:$C$263,A18),0)</f>
        <v>0</v>
      </c>
    </row>
    <row r="19" customFormat="false" ht="31.5" hidden="false" customHeight="true" outlineLevel="0" collapsed="false">
      <c r="A19" s="24" t="s">
        <v>157</v>
      </c>
      <c r="B19" s="70" t="s">
        <v>154</v>
      </c>
      <c r="C19" s="24" t="s">
        <v>308</v>
      </c>
      <c r="D19" s="9" t="n">
        <f aca="false">INDEX('Daily Plan'!$B$4:$B$263,MATCH(A19,'Daily Plan'!$C$4:$C$263,0))</f>
        <v>46535</v>
      </c>
      <c r="E19" s="9" t="n">
        <f aca="false">INDEX('Daily Plan'!$B$4:$B$263,MATCH(A19,'Daily Plan'!$C$4:$C$263,0)+9)</f>
        <v>46548</v>
      </c>
      <c r="F19" s="24" t="s">
        <v>309</v>
      </c>
      <c r="G19" s="24" t="s">
        <v>310</v>
      </c>
      <c r="H19" s="24" t="s">
        <v>311</v>
      </c>
      <c r="I19" s="39" t="s">
        <v>161</v>
      </c>
      <c r="J19" s="24" t="s">
        <v>312</v>
      </c>
      <c r="K19" s="24" t="s">
        <v>313</v>
      </c>
      <c r="L19" s="10" t="n">
        <f aca="false">SUMIFS('Daily Plan'!$N$4:$N$263,'Daily Plan'!$C$4:$C$263,A19)</f>
        <v>40</v>
      </c>
      <c r="M19" s="10" t="n">
        <f aca="false">SUMIFS('Daily Plan'!$O$4:$O$263,'Daily Plan'!$C$4:$C$263,A19)</f>
        <v>0</v>
      </c>
      <c r="N19" s="10" t="n">
        <f aca="false">COUNTIFS('Daily Plan'!$C$4:$C$263,A19,'Daily Plan'!$P$4:$P$263,"Xong")</f>
        <v>0</v>
      </c>
      <c r="O19" s="32" t="n">
        <f aca="false">IFERROR(N19/COUNTIF('Daily Plan'!$C$4:$C$263,A19),0)</f>
        <v>0</v>
      </c>
    </row>
    <row r="20" customFormat="false" ht="31.5" hidden="false" customHeight="true" outlineLevel="0" collapsed="false">
      <c r="A20" s="24" t="s">
        <v>165</v>
      </c>
      <c r="B20" s="71" t="s">
        <v>163</v>
      </c>
      <c r="C20" s="24" t="s">
        <v>314</v>
      </c>
      <c r="D20" s="9" t="n">
        <f aca="false">INDEX('Daily Plan'!$B$4:$B$263,MATCH(A20,'Daily Plan'!$C$4:$C$263,0))</f>
        <v>46549</v>
      </c>
      <c r="E20" s="9" t="n">
        <f aca="false">INDEX('Daily Plan'!$B$4:$B$263,MATCH(A20,'Daily Plan'!$C$4:$C$263,0)+9)</f>
        <v>46562</v>
      </c>
      <c r="F20" s="24" t="s">
        <v>315</v>
      </c>
      <c r="G20" s="24" t="s">
        <v>316</v>
      </c>
      <c r="H20" s="24" t="s">
        <v>317</v>
      </c>
      <c r="I20" s="24"/>
      <c r="J20" s="24" t="s">
        <v>318</v>
      </c>
      <c r="K20" s="24" t="s">
        <v>319</v>
      </c>
      <c r="L20" s="10" t="n">
        <f aca="false">SUMIFS('Daily Plan'!$N$4:$N$263,'Daily Plan'!$C$4:$C$263,A20)</f>
        <v>40</v>
      </c>
      <c r="M20" s="10" t="n">
        <f aca="false">SUMIFS('Daily Plan'!$O$4:$O$263,'Daily Plan'!$C$4:$C$263,A20)</f>
        <v>0</v>
      </c>
      <c r="N20" s="10" t="n">
        <f aca="false">COUNTIFS('Daily Plan'!$C$4:$C$263,A20,'Daily Plan'!$P$4:$P$263,"Xong")</f>
        <v>0</v>
      </c>
      <c r="O20" s="32" t="n">
        <f aca="false">IFERROR(N20/COUNTIF('Daily Plan'!$C$4:$C$263,A20),0)</f>
        <v>0</v>
      </c>
    </row>
    <row r="21" customFormat="false" ht="31.5" hidden="false" customHeight="true" outlineLevel="0" collapsed="false">
      <c r="A21" s="24" t="s">
        <v>193</v>
      </c>
      <c r="B21" s="71" t="s">
        <v>163</v>
      </c>
      <c r="C21" s="24" t="s">
        <v>320</v>
      </c>
      <c r="D21" s="9" t="n">
        <f aca="false">INDEX('Daily Plan'!$B$4:$B$263,MATCH(A21,'Daily Plan'!$C$4:$C$263,0))</f>
        <v>46563</v>
      </c>
      <c r="E21" s="9" t="n">
        <f aca="false">INDEX('Daily Plan'!$B$4:$B$263,MATCH(A21,'Daily Plan'!$C$4:$C$263,0)+9)</f>
        <v>46576</v>
      </c>
      <c r="F21" s="24" t="s">
        <v>321</v>
      </c>
      <c r="G21" s="24" t="s">
        <v>322</v>
      </c>
      <c r="H21" s="24" t="s">
        <v>323</v>
      </c>
      <c r="I21" s="39" t="s">
        <v>324</v>
      </c>
      <c r="J21" s="24" t="s">
        <v>325</v>
      </c>
      <c r="K21" s="24" t="s">
        <v>326</v>
      </c>
      <c r="L21" s="10" t="n">
        <f aca="false">SUMIFS('Daily Plan'!$N$4:$N$263,'Daily Plan'!$C$4:$C$263,A21)</f>
        <v>40</v>
      </c>
      <c r="M21" s="10" t="n">
        <f aca="false">SUMIFS('Daily Plan'!$O$4:$O$263,'Daily Plan'!$C$4:$C$263,A21)</f>
        <v>0</v>
      </c>
      <c r="N21" s="10" t="n">
        <f aca="false">COUNTIFS('Daily Plan'!$C$4:$C$263,A21,'Daily Plan'!$P$4:$P$263,"Xong")</f>
        <v>0</v>
      </c>
      <c r="O21" s="32" t="n">
        <f aca="false">IFERROR(N21/COUNTIF('Daily Plan'!$C$4:$C$263,A21),0)</f>
        <v>0</v>
      </c>
    </row>
    <row r="22" customFormat="false" ht="31.5" hidden="false" customHeight="true" outlineLevel="0" collapsed="false">
      <c r="A22" s="24" t="s">
        <v>194</v>
      </c>
      <c r="B22" s="71" t="s">
        <v>163</v>
      </c>
      <c r="C22" s="24" t="s">
        <v>327</v>
      </c>
      <c r="D22" s="9" t="n">
        <f aca="false">INDEX('Daily Plan'!$B$4:$B$263,MATCH(A22,'Daily Plan'!$C$4:$C$263,0))</f>
        <v>46577</v>
      </c>
      <c r="E22" s="9" t="n">
        <f aca="false">INDEX('Daily Plan'!$B$4:$B$263,MATCH(A22,'Daily Plan'!$C$4:$C$263,0)+9)</f>
        <v>46590</v>
      </c>
      <c r="F22" s="24" t="s">
        <v>328</v>
      </c>
      <c r="G22" s="24" t="s">
        <v>329</v>
      </c>
      <c r="H22" s="24" t="s">
        <v>330</v>
      </c>
      <c r="I22" s="24"/>
      <c r="J22" s="24" t="s">
        <v>331</v>
      </c>
      <c r="K22" s="24" t="s">
        <v>332</v>
      </c>
      <c r="L22" s="10" t="n">
        <f aca="false">SUMIFS('Daily Plan'!$N$4:$N$263,'Daily Plan'!$C$4:$C$263,A22)</f>
        <v>40</v>
      </c>
      <c r="M22" s="10" t="n">
        <f aca="false">SUMIFS('Daily Plan'!$O$4:$O$263,'Daily Plan'!$C$4:$C$263,A22)</f>
        <v>0</v>
      </c>
      <c r="N22" s="10" t="n">
        <f aca="false">COUNTIFS('Daily Plan'!$C$4:$C$263,A22,'Daily Plan'!$P$4:$P$263,"Xong")</f>
        <v>0</v>
      </c>
      <c r="O22" s="32" t="n">
        <f aca="false">IFERROR(N22/COUNTIF('Daily Plan'!$C$4:$C$263,A22),0)</f>
        <v>0</v>
      </c>
    </row>
    <row r="23" customFormat="false" ht="31.5" hidden="false" customHeight="true" outlineLevel="0" collapsed="false">
      <c r="A23" s="24" t="s">
        <v>166</v>
      </c>
      <c r="B23" s="71" t="s">
        <v>163</v>
      </c>
      <c r="C23" s="24" t="s">
        <v>333</v>
      </c>
      <c r="D23" s="9" t="n">
        <f aca="false">INDEX('Daily Plan'!$B$4:$B$263,MATCH(A23,'Daily Plan'!$C$4:$C$263,0))</f>
        <v>46591</v>
      </c>
      <c r="E23" s="9" t="n">
        <f aca="false">INDEX('Daily Plan'!$B$4:$B$263,MATCH(A23,'Daily Plan'!$C$4:$C$263,0)+9)</f>
        <v>46604</v>
      </c>
      <c r="F23" s="24" t="s">
        <v>334</v>
      </c>
      <c r="G23" s="24" t="s">
        <v>335</v>
      </c>
      <c r="H23" s="24" t="s">
        <v>336</v>
      </c>
      <c r="I23" s="39" t="s">
        <v>337</v>
      </c>
      <c r="J23" s="24" t="s">
        <v>338</v>
      </c>
      <c r="K23" s="24" t="s">
        <v>339</v>
      </c>
      <c r="L23" s="10" t="n">
        <f aca="false">SUMIFS('Daily Plan'!$N$4:$N$263,'Daily Plan'!$C$4:$C$263,A23)</f>
        <v>40</v>
      </c>
      <c r="M23" s="10" t="n">
        <f aca="false">SUMIFS('Daily Plan'!$O$4:$O$263,'Daily Plan'!$C$4:$C$263,A23)</f>
        <v>0</v>
      </c>
      <c r="N23" s="10" t="n">
        <f aca="false">COUNTIFS('Daily Plan'!$C$4:$C$263,A23,'Daily Plan'!$P$4:$P$263,"Xong")</f>
        <v>0</v>
      </c>
      <c r="O23" s="32" t="n">
        <f aca="false">IFERROR(N23/COUNTIF('Daily Plan'!$C$4:$C$263,A23),0)</f>
        <v>0</v>
      </c>
    </row>
    <row r="24" customFormat="false" ht="31.5" hidden="false" customHeight="true" outlineLevel="0" collapsed="false">
      <c r="A24" s="24" t="s">
        <v>175</v>
      </c>
      <c r="B24" s="72" t="s">
        <v>172</v>
      </c>
      <c r="C24" s="24" t="s">
        <v>340</v>
      </c>
      <c r="D24" s="9" t="n">
        <f aca="false">INDEX('Daily Plan'!$B$4:$B$263,MATCH(A24,'Daily Plan'!$C$4:$C$263,0))</f>
        <v>46605</v>
      </c>
      <c r="E24" s="9" t="n">
        <f aca="false">INDEX('Daily Plan'!$B$4:$B$263,MATCH(A24,'Daily Plan'!$C$4:$C$263,0)+9)</f>
        <v>46618</v>
      </c>
      <c r="F24" s="24" t="s">
        <v>341</v>
      </c>
      <c r="G24" s="24" t="s">
        <v>342</v>
      </c>
      <c r="H24" s="24" t="s">
        <v>343</v>
      </c>
      <c r="I24" s="39" t="s">
        <v>344</v>
      </c>
      <c r="J24" s="24" t="s">
        <v>345</v>
      </c>
      <c r="K24" s="24" t="s">
        <v>346</v>
      </c>
      <c r="L24" s="10" t="n">
        <f aca="false">SUMIFS('Daily Plan'!$N$4:$N$263,'Daily Plan'!$C$4:$C$263,A24)</f>
        <v>40</v>
      </c>
      <c r="M24" s="10" t="n">
        <f aca="false">SUMIFS('Daily Plan'!$O$4:$O$263,'Daily Plan'!$C$4:$C$263,A24)</f>
        <v>0</v>
      </c>
      <c r="N24" s="10" t="n">
        <f aca="false">COUNTIFS('Daily Plan'!$C$4:$C$263,A24,'Daily Plan'!$P$4:$P$263,"Xong")</f>
        <v>0</v>
      </c>
      <c r="O24" s="32" t="n">
        <f aca="false">IFERROR(N24/COUNTIF('Daily Plan'!$C$4:$C$263,A24),0)</f>
        <v>0</v>
      </c>
    </row>
    <row r="25" customFormat="false" ht="30" hidden="false" customHeight="true" outlineLevel="0" collapsed="false">
      <c r="A25" s="24" t="s">
        <v>195</v>
      </c>
      <c r="B25" s="72" t="s">
        <v>172</v>
      </c>
      <c r="C25" s="24" t="s">
        <v>347</v>
      </c>
      <c r="D25" s="9" t="n">
        <f aca="false">INDEX('Daily Plan'!$B$4:$B$263,MATCH(A25,'Daily Plan'!$C$4:$C$263,0))</f>
        <v>46619</v>
      </c>
      <c r="E25" s="9" t="n">
        <f aca="false">INDEX('Daily Plan'!$B$4:$B$263,MATCH(A25,'Daily Plan'!$C$4:$C$263,0)+9)</f>
        <v>46636</v>
      </c>
      <c r="F25" s="24" t="s">
        <v>348</v>
      </c>
      <c r="G25" s="24" t="s">
        <v>349</v>
      </c>
      <c r="H25" s="24" t="s">
        <v>350</v>
      </c>
      <c r="I25" s="39" t="s">
        <v>351</v>
      </c>
      <c r="J25" s="24" t="s">
        <v>352</v>
      </c>
      <c r="K25" s="24" t="s">
        <v>353</v>
      </c>
      <c r="L25" s="10" t="n">
        <f aca="false">SUMIFS('Daily Plan'!$N$4:$N$263,'Daily Plan'!$C$4:$C$263,A25)</f>
        <v>40</v>
      </c>
      <c r="M25" s="10" t="n">
        <f aca="false">SUMIFS('Daily Plan'!$O$4:$O$263,'Daily Plan'!$C$4:$C$263,A25)</f>
        <v>0</v>
      </c>
      <c r="N25" s="10" t="n">
        <f aca="false">COUNTIFS('Daily Plan'!$C$4:$C$263,A25,'Daily Plan'!$P$4:$P$263,"Xong")</f>
        <v>0</v>
      </c>
      <c r="O25" s="32" t="n">
        <f aca="false">IFERROR(N25/COUNTIF('Daily Plan'!$C$4:$C$263,A25),0)</f>
        <v>0</v>
      </c>
    </row>
    <row r="26" customFormat="false" ht="31.5" hidden="false" customHeight="true" outlineLevel="0" collapsed="false">
      <c r="A26" s="24" t="s">
        <v>196</v>
      </c>
      <c r="B26" s="72" t="s">
        <v>172</v>
      </c>
      <c r="C26" s="24" t="s">
        <v>354</v>
      </c>
      <c r="D26" s="9" t="n">
        <f aca="false">INDEX('Daily Plan'!$B$4:$B$263,MATCH(A26,'Daily Plan'!$C$4:$C$263,0))</f>
        <v>46637</v>
      </c>
      <c r="E26" s="9" t="n">
        <f aca="false">INDEX('Daily Plan'!$B$4:$B$263,MATCH(A26,'Daily Plan'!$C$4:$C$263,0)+9)</f>
        <v>46650</v>
      </c>
      <c r="F26" s="24" t="s">
        <v>355</v>
      </c>
      <c r="G26" s="24" t="s">
        <v>356</v>
      </c>
      <c r="H26" s="24" t="s">
        <v>357</v>
      </c>
      <c r="I26" s="24"/>
      <c r="J26" s="24" t="s">
        <v>358</v>
      </c>
      <c r="K26" s="24" t="s">
        <v>359</v>
      </c>
      <c r="L26" s="10" t="n">
        <f aca="false">SUMIFS('Daily Plan'!$N$4:$N$263,'Daily Plan'!$C$4:$C$263,A26)</f>
        <v>40</v>
      </c>
      <c r="M26" s="10" t="n">
        <f aca="false">SUMIFS('Daily Plan'!$O$4:$O$263,'Daily Plan'!$C$4:$C$263,A26)</f>
        <v>0</v>
      </c>
      <c r="N26" s="10" t="n">
        <f aca="false">COUNTIFS('Daily Plan'!$C$4:$C$263,A26,'Daily Plan'!$P$4:$P$263,"Xong")</f>
        <v>0</v>
      </c>
      <c r="O26" s="32" t="n">
        <f aca="false">IFERROR(N26/COUNTIF('Daily Plan'!$C$4:$C$263,A26),0)</f>
        <v>0</v>
      </c>
    </row>
    <row r="27" customFormat="false" ht="30" hidden="false" customHeight="true" outlineLevel="0" collapsed="false">
      <c r="A27" s="24" t="s">
        <v>197</v>
      </c>
      <c r="B27" s="72" t="s">
        <v>172</v>
      </c>
      <c r="C27" s="24" t="s">
        <v>360</v>
      </c>
      <c r="D27" s="9" t="n">
        <f aca="false">INDEX('Daily Plan'!$B$4:$B$263,MATCH(A27,'Daily Plan'!$C$4:$C$263,0))</f>
        <v>46651</v>
      </c>
      <c r="E27" s="9" t="n">
        <f aca="false">INDEX('Daily Plan'!$B$4:$B$263,MATCH(A27,'Daily Plan'!$C$4:$C$263,0)+9)</f>
        <v>46664</v>
      </c>
      <c r="F27" s="24" t="s">
        <v>361</v>
      </c>
      <c r="G27" s="24" t="s">
        <v>362</v>
      </c>
      <c r="H27" s="24" t="s">
        <v>363</v>
      </c>
      <c r="I27" s="24"/>
      <c r="J27" s="24" t="s">
        <v>364</v>
      </c>
      <c r="K27" s="24" t="s">
        <v>365</v>
      </c>
      <c r="L27" s="10" t="n">
        <f aca="false">SUMIFS('Daily Plan'!$N$4:$N$263,'Daily Plan'!$C$4:$C$263,A27)</f>
        <v>40</v>
      </c>
      <c r="M27" s="10" t="n">
        <f aca="false">SUMIFS('Daily Plan'!$O$4:$O$263,'Daily Plan'!$C$4:$C$263,A27)</f>
        <v>0</v>
      </c>
      <c r="N27" s="10" t="n">
        <f aca="false">COUNTIFS('Daily Plan'!$C$4:$C$263,A27,'Daily Plan'!$P$4:$P$263,"Xong")</f>
        <v>0</v>
      </c>
      <c r="O27" s="32" t="n">
        <f aca="false">IFERROR(N27/COUNTIF('Daily Plan'!$C$4:$C$263,A27),0)</f>
        <v>0</v>
      </c>
    </row>
    <row r="28" customFormat="false" ht="31.5" hidden="false" customHeight="true" outlineLevel="0" collapsed="false">
      <c r="A28" s="24" t="s">
        <v>198</v>
      </c>
      <c r="B28" s="72" t="s">
        <v>172</v>
      </c>
      <c r="C28" s="24" t="s">
        <v>366</v>
      </c>
      <c r="D28" s="9" t="n">
        <f aca="false">INDEX('Daily Plan'!$B$4:$B$263,MATCH(A28,'Daily Plan'!$C$4:$C$263,0))</f>
        <v>46665</v>
      </c>
      <c r="E28" s="9" t="n">
        <f aca="false">INDEX('Daily Plan'!$B$4:$B$263,MATCH(A28,'Daily Plan'!$C$4:$C$263,0)+9)</f>
        <v>46678</v>
      </c>
      <c r="F28" s="24" t="s">
        <v>367</v>
      </c>
      <c r="G28" s="24" t="s">
        <v>368</v>
      </c>
      <c r="H28" s="24" t="s">
        <v>369</v>
      </c>
      <c r="I28" s="24"/>
      <c r="J28" s="24" t="s">
        <v>370</v>
      </c>
      <c r="K28" s="24" t="s">
        <v>371</v>
      </c>
      <c r="L28" s="10" t="n">
        <f aca="false">SUMIFS('Daily Plan'!$N$4:$N$263,'Daily Plan'!$C$4:$C$263,A28)</f>
        <v>40</v>
      </c>
      <c r="M28" s="10" t="n">
        <f aca="false">SUMIFS('Daily Plan'!$O$4:$O$263,'Daily Plan'!$C$4:$C$263,A28)</f>
        <v>0</v>
      </c>
      <c r="N28" s="10" t="n">
        <f aca="false">COUNTIFS('Daily Plan'!$C$4:$C$263,A28,'Daily Plan'!$P$4:$P$263,"Xong")</f>
        <v>0</v>
      </c>
      <c r="O28" s="32" t="n">
        <f aca="false">IFERROR(N28/COUNTIF('Daily Plan'!$C$4:$C$263,A28),0)</f>
        <v>0</v>
      </c>
    </row>
    <row r="29" customFormat="false" ht="30" hidden="false" customHeight="true" outlineLevel="0" collapsed="false">
      <c r="A29" s="24" t="s">
        <v>176</v>
      </c>
      <c r="B29" s="72" t="s">
        <v>172</v>
      </c>
      <c r="C29" s="24" t="s">
        <v>372</v>
      </c>
      <c r="D29" s="9" t="n">
        <f aca="false">INDEX('Daily Plan'!$B$4:$B$263,MATCH(A29,'Daily Plan'!$C$4:$C$263,0))</f>
        <v>46679</v>
      </c>
      <c r="E29" s="9" t="n">
        <f aca="false">INDEX('Daily Plan'!$B$4:$B$263,MATCH(A29,'Daily Plan'!$C$4:$C$263,0)+9)</f>
        <v>46692</v>
      </c>
      <c r="F29" s="24" t="s">
        <v>373</v>
      </c>
      <c r="G29" s="24" t="s">
        <v>374</v>
      </c>
      <c r="H29" s="24" t="s">
        <v>375</v>
      </c>
      <c r="I29" s="39" t="s">
        <v>376</v>
      </c>
      <c r="J29" s="24" t="s">
        <v>377</v>
      </c>
      <c r="K29" s="24" t="s">
        <v>378</v>
      </c>
      <c r="L29" s="10" t="n">
        <f aca="false">SUMIFS('Daily Plan'!$N$4:$N$263,'Daily Plan'!$C$4:$C$263,A29)</f>
        <v>40</v>
      </c>
      <c r="M29" s="10" t="n">
        <f aca="false">SUMIFS('Daily Plan'!$O$4:$O$263,'Daily Plan'!$C$4:$C$263,A29)</f>
        <v>0</v>
      </c>
      <c r="N29" s="10" t="n">
        <f aca="false">COUNTIFS('Daily Plan'!$C$4:$C$263,A29,'Daily Plan'!$P$4:$P$263,"Xong")</f>
        <v>0</v>
      </c>
      <c r="O29" s="32" t="n">
        <f aca="false">IFERROR(N29/COUNTIF('Daily Plan'!$C$4:$C$263,A29),0)</f>
        <v>0</v>
      </c>
    </row>
  </sheetData>
  <conditionalFormatting sqref="O4:O29">
    <cfRule type="dataBar" priority="2">
      <dataBar showValue="1" minLength="10" maxLength="90">
        <cfvo type="num" val="0"/>
        <cfvo type="num" val="1"/>
        <color rgb="FF80CBC4"/>
      </dataBar>
      <extLst>
        <ext xmlns:x14="http://schemas.microsoft.com/office/spreadsheetml/2009/9/main" uri="{B025F937-C7B1-47D3-B67F-A62EFF666E3E}">
          <x14:id>{00886B89-787B-4140-906A-FF30EE607162}</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00886B89-787B-4140-906A-FF30EE607162}">
            <x14:dataBar minLength="10" maxLength="90" axisPosition="none" gradient="true">
              <x14:cfvo type="num">
                <xm:f>0</xm:f>
              </x14:cfvo>
              <x14:cfvo type="num">
                <xm:f>1</xm:f>
              </x14:cfvo>
              <x14:negativeFillColor rgb="FF80CBC4"/>
              <x14:axisColor rgb="FF000000"/>
            </x14:dataBar>
          </x14:cfRule>
          <xm:sqref>O4:O29</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2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4" min="3" style="0" width="7"/>
    <col collapsed="false" customWidth="true" hidden="false" outlineLevel="0" max="5" min="5" style="0" width="8"/>
    <col collapsed="false" customWidth="true" hidden="false" outlineLevel="0" max="6" min="6" style="0" width="22"/>
    <col collapsed="false" customWidth="true" hidden="false" outlineLevel="0" max="7" min="7" style="0" width="6"/>
    <col collapsed="false" customWidth="true" hidden="false" outlineLevel="0" max="8" min="8" style="0" width="30"/>
    <col collapsed="false" customWidth="true" hidden="false" outlineLevel="0" max="9" min="9" style="0" width="58"/>
    <col collapsed="false" customWidth="true" hidden="false" outlineLevel="0" max="10" min="10" style="0" width="52"/>
    <col collapsed="false" customWidth="true" hidden="false" outlineLevel="0" max="11" min="11" style="0" width="26"/>
    <col collapsed="false" customWidth="true" hidden="false" outlineLevel="0" max="12" min="12" style="0" width="34"/>
    <col collapsed="false" customWidth="true" hidden="false" outlineLevel="0" max="13" min="13" style="0" width="10"/>
    <col collapsed="false" customWidth="true" hidden="false" outlineLevel="0" max="15" min="14" style="0" width="7"/>
    <col collapsed="false" customWidth="true" hidden="false" outlineLevel="0" max="16" min="16" style="0" width="11"/>
    <col collapsed="false" customWidth="true" hidden="false" outlineLevel="0" max="17" min="17" style="0" width="10"/>
    <col collapsed="false" customWidth="true" hidden="false" outlineLevel="0" max="18" min="18" style="0" width="24"/>
  </cols>
  <sheetData>
    <row r="1" customFormat="false" ht="24" hidden="false" customHeight="true" outlineLevel="0" collapsed="false">
      <c r="A1" s="1" t="s">
        <v>379</v>
      </c>
    </row>
    <row r="2" customFormat="false" ht="15" hidden="false" customHeight="false" outlineLevel="0" collapsed="false">
      <c r="A2" s="2" t="s">
        <v>380</v>
      </c>
    </row>
    <row r="3" customFormat="false" ht="31.5" hidden="false" customHeight="true" outlineLevel="0" collapsed="false">
      <c r="A3" s="5" t="s">
        <v>381</v>
      </c>
      <c r="B3" s="5" t="s">
        <v>382</v>
      </c>
      <c r="C3" s="5" t="s">
        <v>60</v>
      </c>
      <c r="D3" s="5" t="s">
        <v>116</v>
      </c>
      <c r="E3" s="5" t="s">
        <v>383</v>
      </c>
      <c r="F3" s="5" t="s">
        <v>31</v>
      </c>
      <c r="G3" s="5" t="s">
        <v>384</v>
      </c>
      <c r="H3" s="5" t="s">
        <v>385</v>
      </c>
      <c r="I3" s="5" t="s">
        <v>386</v>
      </c>
      <c r="J3" s="5" t="s">
        <v>387</v>
      </c>
      <c r="K3" s="5" t="s">
        <v>388</v>
      </c>
      <c r="L3" s="5" t="s">
        <v>389</v>
      </c>
      <c r="M3" s="5" t="s">
        <v>390</v>
      </c>
      <c r="N3" s="5" t="s">
        <v>37</v>
      </c>
      <c r="O3" s="5" t="s">
        <v>38</v>
      </c>
      <c r="P3" s="5" t="s">
        <v>62</v>
      </c>
      <c r="Q3" s="5" t="s">
        <v>391</v>
      </c>
      <c r="R3" s="5" t="s">
        <v>392</v>
      </c>
    </row>
    <row r="4" customFormat="false" ht="31.5" hidden="false" customHeight="true" outlineLevel="0" collapsed="false">
      <c r="A4" s="73" t="n">
        <v>1</v>
      </c>
      <c r="B4" s="74" t="n">
        <f aca="false">WORKDAY(Settings!$C$4-1,A4,Holidays!$A$5:$A$40)</f>
        <v>46314</v>
      </c>
      <c r="C4" s="73" t="s">
        <v>124</v>
      </c>
      <c r="D4" s="73" t="n">
        <f aca="false">INT((A4-1)/5)+1</f>
        <v>1</v>
      </c>
      <c r="E4" s="73" t="n">
        <f aca="false">MOD(A4-1,10)+1</f>
        <v>1</v>
      </c>
      <c r="F4" s="66" t="s">
        <v>121</v>
      </c>
      <c r="G4" s="73" t="s">
        <v>393</v>
      </c>
      <c r="H4" s="75" t="str">
        <f aca="false">IFERROR(INDEX(Roles!$D$5:$D$26,MATCH(G4,Roles!$A$5:$A$26,0)),"")</f>
        <v>medilens-product-manager</v>
      </c>
      <c r="I4" s="24" t="s">
        <v>394</v>
      </c>
      <c r="J4" s="24" t="s">
        <v>395</v>
      </c>
      <c r="K4" s="24" t="s">
        <v>396</v>
      </c>
      <c r="L4" s="24" t="s">
        <v>397</v>
      </c>
      <c r="M4" s="73"/>
      <c r="N4" s="76" t="n">
        <f aca="false">Settings!$C$5</f>
        <v>4</v>
      </c>
      <c r="O4" s="77"/>
      <c r="P4" s="78" t="s">
        <v>74</v>
      </c>
      <c r="Q4" s="73" t="str">
        <f aca="true">IF(OR(P4="Xong",P4="Bỏ"),"",IF(B4&lt;TODAY(),"Quá hạn",IF(B4=TODAY(),"Hôm nay","")))</f>
        <v/>
      </c>
      <c r="R4" s="79"/>
    </row>
    <row r="5" customFormat="false" ht="31.5" hidden="false" customHeight="true" outlineLevel="0" collapsed="false">
      <c r="A5" s="73" t="n">
        <v>2</v>
      </c>
      <c r="B5" s="74" t="n">
        <f aca="false">WORKDAY(Settings!$C$4-1,A5,Holidays!$A$5:$A$40)</f>
        <v>46315</v>
      </c>
      <c r="C5" s="73" t="s">
        <v>124</v>
      </c>
      <c r="D5" s="73" t="n">
        <f aca="false">INT((A5-1)/5)+1</f>
        <v>1</v>
      </c>
      <c r="E5" s="73" t="n">
        <f aca="false">MOD(A5-1,10)+1</f>
        <v>2</v>
      </c>
      <c r="F5" s="66" t="s">
        <v>121</v>
      </c>
      <c r="G5" s="73" t="s">
        <v>393</v>
      </c>
      <c r="H5" s="75" t="str">
        <f aca="false">IFERROR(INDEX(Roles!$D$5:$D$26,MATCH(G5,Roles!$A$5:$A$26,0)),"")</f>
        <v>medilens-product-manager</v>
      </c>
      <c r="I5" s="24" t="s">
        <v>398</v>
      </c>
      <c r="J5" s="24" t="s">
        <v>399</v>
      </c>
      <c r="K5" s="24" t="s">
        <v>400</v>
      </c>
      <c r="L5" s="24" t="s">
        <v>401</v>
      </c>
      <c r="M5" s="73"/>
      <c r="N5" s="76" t="n">
        <f aca="false">Settings!$C$5</f>
        <v>4</v>
      </c>
      <c r="O5" s="77"/>
      <c r="P5" s="78" t="s">
        <v>74</v>
      </c>
      <c r="Q5" s="73" t="str">
        <f aca="true">IF(OR(P5="Xong",P5="Bỏ"),"",IF(B5&lt;TODAY(),"Quá hạn",IF(B5=TODAY(),"Hôm nay","")))</f>
        <v/>
      </c>
      <c r="R5" s="79"/>
    </row>
    <row r="6" customFormat="false" ht="31.5" hidden="false" customHeight="true" outlineLevel="0" collapsed="false">
      <c r="A6" s="73" t="n">
        <v>3</v>
      </c>
      <c r="B6" s="74" t="n">
        <f aca="false">WORKDAY(Settings!$C$4-1,A6,Holidays!$A$5:$A$40)</f>
        <v>46316</v>
      </c>
      <c r="C6" s="73" t="s">
        <v>124</v>
      </c>
      <c r="D6" s="73" t="n">
        <f aca="false">INT((A6-1)/5)+1</f>
        <v>1</v>
      </c>
      <c r="E6" s="73" t="n">
        <f aca="false">MOD(A6-1,10)+1</f>
        <v>3</v>
      </c>
      <c r="F6" s="66" t="s">
        <v>121</v>
      </c>
      <c r="G6" s="73" t="s">
        <v>402</v>
      </c>
      <c r="H6" s="75" t="str">
        <f aca="false">IFERROR(INDEX(Roles!$D$5:$D$26,MATCH(G6,Roles!$A$5:$A$26,0)),"")</f>
        <v>medilens-regulatory-privacy-officer</v>
      </c>
      <c r="I6" s="24" t="s">
        <v>403</v>
      </c>
      <c r="J6" s="24" t="s">
        <v>404</v>
      </c>
      <c r="K6" s="24" t="s">
        <v>405</v>
      </c>
      <c r="L6" s="24" t="s">
        <v>406</v>
      </c>
      <c r="M6" s="73"/>
      <c r="N6" s="76" t="n">
        <f aca="false">Settings!$C$5</f>
        <v>4</v>
      </c>
      <c r="O6" s="77"/>
      <c r="P6" s="78" t="s">
        <v>74</v>
      </c>
      <c r="Q6" s="73" t="str">
        <f aca="true">IF(OR(P6="Xong",P6="Bỏ"),"",IF(B6&lt;TODAY(),"Quá hạn",IF(B6=TODAY(),"Hôm nay","")))</f>
        <v/>
      </c>
      <c r="R6" s="79"/>
    </row>
    <row r="7" customFormat="false" ht="45.75" hidden="false" customHeight="true" outlineLevel="0" collapsed="false">
      <c r="A7" s="73" t="n">
        <v>4</v>
      </c>
      <c r="B7" s="74" t="n">
        <f aca="false">WORKDAY(Settings!$C$4-1,A7,Holidays!$A$5:$A$40)</f>
        <v>46317</v>
      </c>
      <c r="C7" s="73" t="s">
        <v>124</v>
      </c>
      <c r="D7" s="73" t="n">
        <f aca="false">INT((A7-1)/5)+1</f>
        <v>1</v>
      </c>
      <c r="E7" s="73" t="n">
        <f aca="false">MOD(A7-1,10)+1</f>
        <v>4</v>
      </c>
      <c r="F7" s="66" t="s">
        <v>121</v>
      </c>
      <c r="G7" s="73" t="s">
        <v>402</v>
      </c>
      <c r="H7" s="75" t="str">
        <f aca="false">IFERROR(INDEX(Roles!$D$5:$D$26,MATCH(G7,Roles!$A$5:$A$26,0)),"")</f>
        <v>medilens-regulatory-privacy-officer</v>
      </c>
      <c r="I7" s="24" t="s">
        <v>407</v>
      </c>
      <c r="J7" s="24" t="s">
        <v>408</v>
      </c>
      <c r="K7" s="24" t="s">
        <v>409</v>
      </c>
      <c r="L7" s="24" t="s">
        <v>410</v>
      </c>
      <c r="M7" s="73"/>
      <c r="N7" s="76" t="n">
        <f aca="false">Settings!$C$5</f>
        <v>4</v>
      </c>
      <c r="O7" s="77"/>
      <c r="P7" s="78" t="s">
        <v>74</v>
      </c>
      <c r="Q7" s="73" t="str">
        <f aca="true">IF(OR(P7="Xong",P7="Bỏ"),"",IF(B7&lt;TODAY(),"Quá hạn",IF(B7=TODAY(),"Hôm nay","")))</f>
        <v/>
      </c>
      <c r="R7" s="79"/>
    </row>
    <row r="8" customFormat="false" ht="31.5" hidden="false" customHeight="true" outlineLevel="0" collapsed="false">
      <c r="A8" s="73" t="n">
        <v>5</v>
      </c>
      <c r="B8" s="74" t="n">
        <f aca="false">WORKDAY(Settings!$C$4-1,A8,Holidays!$A$5:$A$40)</f>
        <v>46318</v>
      </c>
      <c r="C8" s="73" t="s">
        <v>124</v>
      </c>
      <c r="D8" s="73" t="n">
        <f aca="false">INT((A8-1)/5)+1</f>
        <v>1</v>
      </c>
      <c r="E8" s="73" t="n">
        <f aca="false">MOD(A8-1,10)+1</f>
        <v>5</v>
      </c>
      <c r="F8" s="66" t="s">
        <v>121</v>
      </c>
      <c r="G8" s="73" t="s">
        <v>411</v>
      </c>
      <c r="H8" s="75" t="str">
        <f aca="false">IFERROR(INDEX(Roles!$D$5:$D$26,MATCH(G8,Roles!$A$5:$A$26,0)),"")</f>
        <v>medilens-business-analyst</v>
      </c>
      <c r="I8" s="24" t="s">
        <v>412</v>
      </c>
      <c r="J8" s="24" t="s">
        <v>413</v>
      </c>
      <c r="K8" s="24" t="s">
        <v>414</v>
      </c>
      <c r="L8" s="24" t="s">
        <v>415</v>
      </c>
      <c r="M8" s="73"/>
      <c r="N8" s="76" t="n">
        <f aca="false">Settings!$C$5</f>
        <v>4</v>
      </c>
      <c r="O8" s="77"/>
      <c r="P8" s="78" t="s">
        <v>74</v>
      </c>
      <c r="Q8" s="73" t="str">
        <f aca="true">IF(OR(P8="Xong",P8="Bỏ"),"",IF(B8&lt;TODAY(),"Quá hạn",IF(B8=TODAY(),"Hôm nay","")))</f>
        <v/>
      </c>
      <c r="R8" s="79"/>
    </row>
    <row r="9" customFormat="false" ht="27.75" hidden="false" customHeight="true" outlineLevel="0" collapsed="false">
      <c r="A9" s="73" t="n">
        <v>6</v>
      </c>
      <c r="B9" s="74" t="n">
        <f aca="false">WORKDAY(Settings!$C$4-1,A9,Holidays!$A$5:$A$40)</f>
        <v>46321</v>
      </c>
      <c r="C9" s="73" t="s">
        <v>124</v>
      </c>
      <c r="D9" s="73" t="n">
        <f aca="false">INT((A9-1)/5)+1</f>
        <v>2</v>
      </c>
      <c r="E9" s="73" t="n">
        <f aca="false">MOD(A9-1,10)+1</f>
        <v>6</v>
      </c>
      <c r="F9" s="66" t="s">
        <v>121</v>
      </c>
      <c r="G9" s="73" t="s">
        <v>411</v>
      </c>
      <c r="H9" s="75" t="str">
        <f aca="false">IFERROR(INDEX(Roles!$D$5:$D$26,MATCH(G9,Roles!$A$5:$A$26,0)),"")</f>
        <v>medilens-business-analyst</v>
      </c>
      <c r="I9" s="24" t="s">
        <v>416</v>
      </c>
      <c r="J9" s="24" t="s">
        <v>417</v>
      </c>
      <c r="K9" s="24" t="s">
        <v>418</v>
      </c>
      <c r="L9" s="24" t="s">
        <v>419</v>
      </c>
      <c r="M9" s="73"/>
      <c r="N9" s="76" t="n">
        <f aca="false">Settings!$C$5</f>
        <v>4</v>
      </c>
      <c r="O9" s="77"/>
      <c r="P9" s="78" t="s">
        <v>74</v>
      </c>
      <c r="Q9" s="73" t="str">
        <f aca="true">IF(OR(P9="Xong",P9="Bỏ"),"",IF(B9&lt;TODAY(),"Quá hạn",IF(B9=TODAY(),"Hôm nay","")))</f>
        <v/>
      </c>
      <c r="R9" s="79"/>
    </row>
    <row r="10" customFormat="false" ht="31.5" hidden="false" customHeight="true" outlineLevel="0" collapsed="false">
      <c r="A10" s="73" t="n">
        <v>7</v>
      </c>
      <c r="B10" s="74" t="n">
        <f aca="false">WORKDAY(Settings!$C$4-1,A10,Holidays!$A$5:$A$40)</f>
        <v>46322</v>
      </c>
      <c r="C10" s="73" t="s">
        <v>124</v>
      </c>
      <c r="D10" s="73" t="n">
        <f aca="false">INT((A10-1)/5)+1</f>
        <v>2</v>
      </c>
      <c r="E10" s="73" t="n">
        <f aca="false">MOD(A10-1,10)+1</f>
        <v>7</v>
      </c>
      <c r="F10" s="66" t="s">
        <v>121</v>
      </c>
      <c r="G10" s="73" t="s">
        <v>420</v>
      </c>
      <c r="H10" s="75" t="str">
        <f aca="false">IFERROR(INDEX(Roles!$D$5:$D$26,MATCH(G10,Roles!$A$5:$A$26,0)),"")</f>
        <v>medilens-ux-ui-designer</v>
      </c>
      <c r="I10" s="24" t="s">
        <v>421</v>
      </c>
      <c r="J10" s="24" t="s">
        <v>422</v>
      </c>
      <c r="K10" s="24" t="s">
        <v>423</v>
      </c>
      <c r="L10" s="24" t="s">
        <v>424</v>
      </c>
      <c r="M10" s="73"/>
      <c r="N10" s="76" t="n">
        <f aca="false">Settings!$C$5</f>
        <v>4</v>
      </c>
      <c r="O10" s="77"/>
      <c r="P10" s="78" t="s">
        <v>74</v>
      </c>
      <c r="Q10" s="73" t="str">
        <f aca="true">IF(OR(P10="Xong",P10="Bỏ"),"",IF(B10&lt;TODAY(),"Quá hạn",IF(B10=TODAY(),"Hôm nay","")))</f>
        <v/>
      </c>
      <c r="R10" s="79"/>
    </row>
    <row r="11" customFormat="false" ht="31.5" hidden="false" customHeight="true" outlineLevel="0" collapsed="false">
      <c r="A11" s="73" t="n">
        <v>8</v>
      </c>
      <c r="B11" s="74" t="n">
        <f aca="false">WORKDAY(Settings!$C$4-1,A11,Holidays!$A$5:$A$40)</f>
        <v>46323</v>
      </c>
      <c r="C11" s="73" t="s">
        <v>124</v>
      </c>
      <c r="D11" s="73" t="n">
        <f aca="false">INT((A11-1)/5)+1</f>
        <v>2</v>
      </c>
      <c r="E11" s="73" t="n">
        <f aca="false">MOD(A11-1,10)+1</f>
        <v>8</v>
      </c>
      <c r="F11" s="66" t="s">
        <v>121</v>
      </c>
      <c r="G11" s="73" t="s">
        <v>420</v>
      </c>
      <c r="H11" s="75" t="str">
        <f aca="false">IFERROR(INDEX(Roles!$D$5:$D$26,MATCH(G11,Roles!$A$5:$A$26,0)),"")</f>
        <v>medilens-ux-ui-designer</v>
      </c>
      <c r="I11" s="24" t="s">
        <v>425</v>
      </c>
      <c r="J11" s="24" t="s">
        <v>426</v>
      </c>
      <c r="K11" s="24" t="s">
        <v>427</v>
      </c>
      <c r="L11" s="24" t="s">
        <v>428</v>
      </c>
      <c r="M11" s="73"/>
      <c r="N11" s="76" t="n">
        <f aca="false">Settings!$C$5</f>
        <v>4</v>
      </c>
      <c r="O11" s="77"/>
      <c r="P11" s="78" t="s">
        <v>74</v>
      </c>
      <c r="Q11" s="73" t="str">
        <f aca="true">IF(OR(P11="Xong",P11="Bỏ"),"",IF(B11&lt;TODAY(),"Quá hạn",IF(B11=TODAY(),"Hôm nay","")))</f>
        <v/>
      </c>
      <c r="R11" s="79"/>
    </row>
    <row r="12" customFormat="false" ht="31.5" hidden="false" customHeight="true" outlineLevel="0" collapsed="false">
      <c r="A12" s="73" t="n">
        <v>9</v>
      </c>
      <c r="B12" s="74" t="n">
        <f aca="false">WORKDAY(Settings!$C$4-1,A12,Holidays!$A$5:$A$40)</f>
        <v>46324</v>
      </c>
      <c r="C12" s="73" t="s">
        <v>124</v>
      </c>
      <c r="D12" s="73" t="n">
        <f aca="false">INT((A12-1)/5)+1</f>
        <v>2</v>
      </c>
      <c r="E12" s="73" t="n">
        <f aca="false">MOD(A12-1,10)+1</f>
        <v>9</v>
      </c>
      <c r="F12" s="66" t="s">
        <v>121</v>
      </c>
      <c r="G12" s="73" t="s">
        <v>429</v>
      </c>
      <c r="H12" s="75" t="str">
        <f aca="false">IFERROR(INDEX(Roles!$D$5:$D$26,MATCH(G12,Roles!$A$5:$A$26,0)),"")</f>
        <v>medilens-clinical-safety-officer</v>
      </c>
      <c r="I12" s="24" t="s">
        <v>430</v>
      </c>
      <c r="J12" s="24" t="s">
        <v>431</v>
      </c>
      <c r="K12" s="24" t="s">
        <v>432</v>
      </c>
      <c r="L12" s="24" t="s">
        <v>433</v>
      </c>
      <c r="M12" s="73"/>
      <c r="N12" s="76" t="n">
        <f aca="false">Settings!$C$5</f>
        <v>4</v>
      </c>
      <c r="O12" s="77"/>
      <c r="P12" s="78" t="s">
        <v>74</v>
      </c>
      <c r="Q12" s="73" t="str">
        <f aca="true">IF(OR(P12="Xong",P12="Bỏ"),"",IF(B12&lt;TODAY(),"Quá hạn",IF(B12=TODAY(),"Hôm nay","")))</f>
        <v/>
      </c>
      <c r="R12" s="79"/>
    </row>
    <row r="13" customFormat="false" ht="31.5" hidden="false" customHeight="true" outlineLevel="0" collapsed="false">
      <c r="A13" s="73" t="n">
        <v>10</v>
      </c>
      <c r="B13" s="74" t="n">
        <f aca="false">WORKDAY(Settings!$C$4-1,A13,Holidays!$A$5:$A$40)</f>
        <v>46325</v>
      </c>
      <c r="C13" s="73" t="s">
        <v>124</v>
      </c>
      <c r="D13" s="73" t="n">
        <f aca="false">INT((A13-1)/5)+1</f>
        <v>2</v>
      </c>
      <c r="E13" s="73" t="n">
        <f aca="false">MOD(A13-1,10)+1</f>
        <v>10</v>
      </c>
      <c r="F13" s="66" t="s">
        <v>121</v>
      </c>
      <c r="G13" s="73" t="s">
        <v>393</v>
      </c>
      <c r="H13" s="75" t="str">
        <f aca="false">IFERROR(INDEX(Roles!$D$5:$D$26,MATCH(G13,Roles!$A$5:$A$26,0)),"")</f>
        <v>medilens-product-manager</v>
      </c>
      <c r="I13" s="24" t="s">
        <v>434</v>
      </c>
      <c r="J13" s="24" t="s">
        <v>435</v>
      </c>
      <c r="K13" s="24" t="s">
        <v>436</v>
      </c>
      <c r="L13" s="24" t="s">
        <v>437</v>
      </c>
      <c r="M13" s="73"/>
      <c r="N13" s="76" t="n">
        <f aca="false">Settings!$C$5</f>
        <v>4</v>
      </c>
      <c r="O13" s="77"/>
      <c r="P13" s="78" t="s">
        <v>74</v>
      </c>
      <c r="Q13" s="73" t="str">
        <f aca="true">IF(OR(P13="Xong",P13="Bỏ"),"",IF(B13&lt;TODAY(),"Quá hạn",IF(B13=TODAY(),"Hôm nay","")))</f>
        <v/>
      </c>
      <c r="R13" s="79"/>
    </row>
    <row r="14" customFormat="false" ht="31.5" hidden="false" customHeight="true" outlineLevel="0" collapsed="false">
      <c r="A14" s="73" t="n">
        <v>11</v>
      </c>
      <c r="B14" s="74" t="n">
        <f aca="false">WORKDAY(Settings!$C$4-1,A14,Holidays!$A$5:$A$40)</f>
        <v>46328</v>
      </c>
      <c r="C14" s="73" t="s">
        <v>125</v>
      </c>
      <c r="D14" s="73" t="n">
        <f aca="false">INT((A14-1)/5)+1</f>
        <v>3</v>
      </c>
      <c r="E14" s="73" t="n">
        <f aca="false">MOD(A14-1,10)+1</f>
        <v>1</v>
      </c>
      <c r="F14" s="66" t="s">
        <v>121</v>
      </c>
      <c r="G14" s="73" t="s">
        <v>411</v>
      </c>
      <c r="H14" s="75" t="str">
        <f aca="false">IFERROR(INDEX(Roles!$D$5:$D$26,MATCH(G14,Roles!$A$5:$A$26,0)),"")</f>
        <v>medilens-business-analyst</v>
      </c>
      <c r="I14" s="24" t="s">
        <v>438</v>
      </c>
      <c r="J14" s="24" t="s">
        <v>439</v>
      </c>
      <c r="K14" s="24" t="s">
        <v>440</v>
      </c>
      <c r="L14" s="24" t="s">
        <v>441</v>
      </c>
      <c r="M14" s="73"/>
      <c r="N14" s="76" t="n">
        <f aca="false">Settings!$C$5</f>
        <v>4</v>
      </c>
      <c r="O14" s="77"/>
      <c r="P14" s="78" t="s">
        <v>74</v>
      </c>
      <c r="Q14" s="73" t="str">
        <f aca="true">IF(OR(P14="Xong",P14="Bỏ"),"",IF(B14&lt;TODAY(),"Quá hạn",IF(B14=TODAY(),"Hôm nay","")))</f>
        <v/>
      </c>
      <c r="R14" s="79"/>
    </row>
    <row r="15" customFormat="false" ht="31.5" hidden="false" customHeight="true" outlineLevel="0" collapsed="false">
      <c r="A15" s="73" t="n">
        <v>12</v>
      </c>
      <c r="B15" s="74" t="n">
        <f aca="false">WORKDAY(Settings!$C$4-1,A15,Holidays!$A$5:$A$40)</f>
        <v>46329</v>
      </c>
      <c r="C15" s="73" t="s">
        <v>125</v>
      </c>
      <c r="D15" s="73" t="n">
        <f aca="false">INT((A15-1)/5)+1</f>
        <v>3</v>
      </c>
      <c r="E15" s="73" t="n">
        <f aca="false">MOD(A15-1,10)+1</f>
        <v>2</v>
      </c>
      <c r="F15" s="66" t="s">
        <v>121</v>
      </c>
      <c r="G15" s="73" t="s">
        <v>411</v>
      </c>
      <c r="H15" s="75" t="str">
        <f aca="false">IFERROR(INDEX(Roles!$D$5:$D$26,MATCH(G15,Roles!$A$5:$A$26,0)),"")</f>
        <v>medilens-business-analyst</v>
      </c>
      <c r="I15" s="24" t="s">
        <v>442</v>
      </c>
      <c r="J15" s="24" t="s">
        <v>443</v>
      </c>
      <c r="K15" s="24" t="s">
        <v>444</v>
      </c>
      <c r="L15" s="24" t="s">
        <v>445</v>
      </c>
      <c r="M15" s="73"/>
      <c r="N15" s="76" t="n">
        <f aca="false">Settings!$C$5</f>
        <v>4</v>
      </c>
      <c r="O15" s="77"/>
      <c r="P15" s="78" t="s">
        <v>74</v>
      </c>
      <c r="Q15" s="73" t="str">
        <f aca="true">IF(OR(P15="Xong",P15="Bỏ"),"",IF(B15&lt;TODAY(),"Quá hạn",IF(B15=TODAY(),"Hôm nay","")))</f>
        <v/>
      </c>
      <c r="R15" s="79"/>
    </row>
    <row r="16" customFormat="false" ht="31.5" hidden="false" customHeight="true" outlineLevel="0" collapsed="false">
      <c r="A16" s="73" t="n">
        <v>13</v>
      </c>
      <c r="B16" s="74" t="n">
        <f aca="false">WORKDAY(Settings!$C$4-1,A16,Holidays!$A$5:$A$40)</f>
        <v>46330</v>
      </c>
      <c r="C16" s="73" t="s">
        <v>125</v>
      </c>
      <c r="D16" s="73" t="n">
        <f aca="false">INT((A16-1)/5)+1</f>
        <v>3</v>
      </c>
      <c r="E16" s="73" t="n">
        <f aca="false">MOD(A16-1,10)+1</f>
        <v>3</v>
      </c>
      <c r="F16" s="66" t="s">
        <v>121</v>
      </c>
      <c r="G16" s="73" t="s">
        <v>420</v>
      </c>
      <c r="H16" s="75" t="str">
        <f aca="false">IFERROR(INDEX(Roles!$D$5:$D$26,MATCH(G16,Roles!$A$5:$A$26,0)),"")</f>
        <v>medilens-ux-ui-designer</v>
      </c>
      <c r="I16" s="24" t="s">
        <v>446</v>
      </c>
      <c r="J16" s="24" t="s">
        <v>447</v>
      </c>
      <c r="K16" s="24" t="s">
        <v>448</v>
      </c>
      <c r="L16" s="24" t="s">
        <v>449</v>
      </c>
      <c r="M16" s="73"/>
      <c r="N16" s="76" t="n">
        <f aca="false">Settings!$C$5</f>
        <v>4</v>
      </c>
      <c r="O16" s="77"/>
      <c r="P16" s="78" t="s">
        <v>74</v>
      </c>
      <c r="Q16" s="73" t="str">
        <f aca="true">IF(OR(P16="Xong",P16="Bỏ"),"",IF(B16&lt;TODAY(),"Quá hạn",IF(B16=TODAY(),"Hôm nay","")))</f>
        <v/>
      </c>
      <c r="R16" s="79"/>
    </row>
    <row r="17" customFormat="false" ht="27.75" hidden="false" customHeight="true" outlineLevel="0" collapsed="false">
      <c r="A17" s="73" t="n">
        <v>14</v>
      </c>
      <c r="B17" s="74" t="n">
        <f aca="false">WORKDAY(Settings!$C$4-1,A17,Holidays!$A$5:$A$40)</f>
        <v>46331</v>
      </c>
      <c r="C17" s="73" t="s">
        <v>125</v>
      </c>
      <c r="D17" s="73" t="n">
        <f aca="false">INT((A17-1)/5)+1</f>
        <v>3</v>
      </c>
      <c r="E17" s="73" t="n">
        <f aca="false">MOD(A17-1,10)+1</f>
        <v>4</v>
      </c>
      <c r="F17" s="66" t="s">
        <v>121</v>
      </c>
      <c r="G17" s="73" t="s">
        <v>420</v>
      </c>
      <c r="H17" s="75" t="str">
        <f aca="false">IFERROR(INDEX(Roles!$D$5:$D$26,MATCH(G17,Roles!$A$5:$A$26,0)),"")</f>
        <v>medilens-ux-ui-designer</v>
      </c>
      <c r="I17" s="24" t="s">
        <v>450</v>
      </c>
      <c r="J17" s="24" t="s">
        <v>451</v>
      </c>
      <c r="K17" s="24" t="s">
        <v>452</v>
      </c>
      <c r="L17" s="24" t="s">
        <v>453</v>
      </c>
      <c r="M17" s="73"/>
      <c r="N17" s="76" t="n">
        <f aca="false">Settings!$C$5</f>
        <v>4</v>
      </c>
      <c r="O17" s="77"/>
      <c r="P17" s="78" t="s">
        <v>74</v>
      </c>
      <c r="Q17" s="73" t="str">
        <f aca="true">IF(OR(P17="Xong",P17="Bỏ"),"",IF(B17&lt;TODAY(),"Quá hạn",IF(B17=TODAY(),"Hôm nay","")))</f>
        <v/>
      </c>
      <c r="R17" s="79"/>
    </row>
    <row r="18" customFormat="false" ht="45.75" hidden="false" customHeight="true" outlineLevel="0" collapsed="false">
      <c r="A18" s="73" t="n">
        <v>15</v>
      </c>
      <c r="B18" s="74" t="n">
        <f aca="false">WORKDAY(Settings!$C$4-1,A18,Holidays!$A$5:$A$40)</f>
        <v>46332</v>
      </c>
      <c r="C18" s="73" t="s">
        <v>125</v>
      </c>
      <c r="D18" s="73" t="n">
        <f aca="false">INT((A18-1)/5)+1</f>
        <v>3</v>
      </c>
      <c r="E18" s="73" t="n">
        <f aca="false">MOD(A18-1,10)+1</f>
        <v>5</v>
      </c>
      <c r="F18" s="66" t="s">
        <v>121</v>
      </c>
      <c r="G18" s="73" t="s">
        <v>454</v>
      </c>
      <c r="H18" s="75" t="str">
        <f aca="false">IFERROR(INDEX(Roles!$D$5:$D$26,MATCH(G18,Roles!$A$5:$A$26,0)),"")</f>
        <v>medilens-ai-ml-engineer</v>
      </c>
      <c r="I18" s="24" t="s">
        <v>455</v>
      </c>
      <c r="J18" s="24" t="s">
        <v>456</v>
      </c>
      <c r="K18" s="24" t="s">
        <v>457</v>
      </c>
      <c r="L18" s="24" t="s">
        <v>458</v>
      </c>
      <c r="M18" s="73"/>
      <c r="N18" s="76" t="n">
        <f aca="false">Settings!$C$5</f>
        <v>4</v>
      </c>
      <c r="O18" s="77"/>
      <c r="P18" s="78" t="s">
        <v>74</v>
      </c>
      <c r="Q18" s="73" t="str">
        <f aca="true">IF(OR(P18="Xong",P18="Bỏ"),"",IF(B18&lt;TODAY(),"Quá hạn",IF(B18=TODAY(),"Hôm nay","")))</f>
        <v/>
      </c>
      <c r="R18" s="79"/>
    </row>
    <row r="19" customFormat="false" ht="31.5" hidden="false" customHeight="true" outlineLevel="0" collapsed="false">
      <c r="A19" s="73" t="n">
        <v>16</v>
      </c>
      <c r="B19" s="74" t="n">
        <f aca="false">WORKDAY(Settings!$C$4-1,A19,Holidays!$A$5:$A$40)</f>
        <v>46335</v>
      </c>
      <c r="C19" s="73" t="s">
        <v>125</v>
      </c>
      <c r="D19" s="73" t="n">
        <f aca="false">INT((A19-1)/5)+1</f>
        <v>4</v>
      </c>
      <c r="E19" s="73" t="n">
        <f aca="false">MOD(A19-1,10)+1</f>
        <v>6</v>
      </c>
      <c r="F19" s="66" t="s">
        <v>121</v>
      </c>
      <c r="G19" s="73" t="s">
        <v>459</v>
      </c>
      <c r="H19" s="75" t="str">
        <f aca="false">IFERROR(INDEX(Roles!$D$5:$D$26,MATCH(G19,Roles!$A$5:$A$26,0)),"")</f>
        <v>medilens-data-curator</v>
      </c>
      <c r="I19" s="24" t="s">
        <v>460</v>
      </c>
      <c r="J19" s="24" t="s">
        <v>461</v>
      </c>
      <c r="K19" s="24" t="s">
        <v>462</v>
      </c>
      <c r="L19" s="24" t="s">
        <v>463</v>
      </c>
      <c r="M19" s="73"/>
      <c r="N19" s="76" t="n">
        <f aca="false">Settings!$C$5</f>
        <v>4</v>
      </c>
      <c r="O19" s="77"/>
      <c r="P19" s="78" t="s">
        <v>74</v>
      </c>
      <c r="Q19" s="73" t="str">
        <f aca="true">IF(OR(P19="Xong",P19="Bỏ"),"",IF(B19&lt;TODAY(),"Quá hạn",IF(B19=TODAY(),"Hôm nay","")))</f>
        <v/>
      </c>
      <c r="R19" s="79"/>
    </row>
    <row r="20" customFormat="false" ht="31.5" hidden="false" customHeight="true" outlineLevel="0" collapsed="false">
      <c r="A20" s="73" t="n">
        <v>17</v>
      </c>
      <c r="B20" s="74" t="n">
        <f aca="false">WORKDAY(Settings!$C$4-1,A20,Holidays!$A$5:$A$40)</f>
        <v>46336</v>
      </c>
      <c r="C20" s="73" t="s">
        <v>125</v>
      </c>
      <c r="D20" s="73" t="n">
        <f aca="false">INT((A20-1)/5)+1</f>
        <v>4</v>
      </c>
      <c r="E20" s="73" t="n">
        <f aca="false">MOD(A20-1,10)+1</f>
        <v>7</v>
      </c>
      <c r="F20" s="66" t="s">
        <v>121</v>
      </c>
      <c r="G20" s="73" t="s">
        <v>454</v>
      </c>
      <c r="H20" s="75" t="str">
        <f aca="false">IFERROR(INDEX(Roles!$D$5:$D$26,MATCH(G20,Roles!$A$5:$A$26,0)),"")</f>
        <v>medilens-ai-ml-engineer</v>
      </c>
      <c r="I20" s="24" t="s">
        <v>464</v>
      </c>
      <c r="J20" s="24" t="s">
        <v>465</v>
      </c>
      <c r="K20" s="24" t="s">
        <v>466</v>
      </c>
      <c r="L20" s="24" t="s">
        <v>467</v>
      </c>
      <c r="M20" s="73"/>
      <c r="N20" s="76" t="n">
        <f aca="false">Settings!$C$5</f>
        <v>4</v>
      </c>
      <c r="O20" s="77"/>
      <c r="P20" s="78" t="s">
        <v>74</v>
      </c>
      <c r="Q20" s="73" t="str">
        <f aca="true">IF(OR(P20="Xong",P20="Bỏ"),"",IF(B20&lt;TODAY(),"Quá hạn",IF(B20=TODAY(),"Hôm nay","")))</f>
        <v/>
      </c>
      <c r="R20" s="79"/>
    </row>
    <row r="21" customFormat="false" ht="31.5" hidden="false" customHeight="true" outlineLevel="0" collapsed="false">
      <c r="A21" s="73" t="n">
        <v>18</v>
      </c>
      <c r="B21" s="74" t="n">
        <f aca="false">WORKDAY(Settings!$C$4-1,A21,Holidays!$A$5:$A$40)</f>
        <v>46337</v>
      </c>
      <c r="C21" s="73" t="s">
        <v>125</v>
      </c>
      <c r="D21" s="73" t="n">
        <f aca="false">INT((A21-1)/5)+1</f>
        <v>4</v>
      </c>
      <c r="E21" s="73" t="n">
        <f aca="false">MOD(A21-1,10)+1</f>
        <v>8</v>
      </c>
      <c r="F21" s="66" t="s">
        <v>121</v>
      </c>
      <c r="G21" s="73" t="s">
        <v>468</v>
      </c>
      <c r="H21" s="75" t="str">
        <f aca="false">IFERROR(INDEX(Roles!$D$5:$D$26,MATCH(G21,Roles!$A$5:$A$26,0)),"")</f>
        <v>medilens-solution-architect</v>
      </c>
      <c r="I21" s="24" t="s">
        <v>469</v>
      </c>
      <c r="J21" s="24" t="s">
        <v>470</v>
      </c>
      <c r="K21" s="24" t="s">
        <v>471</v>
      </c>
      <c r="L21" s="24" t="s">
        <v>472</v>
      </c>
      <c r="M21" s="73"/>
      <c r="N21" s="76" t="n">
        <f aca="false">Settings!$C$5</f>
        <v>4</v>
      </c>
      <c r="O21" s="77"/>
      <c r="P21" s="78" t="s">
        <v>74</v>
      </c>
      <c r="Q21" s="73" t="str">
        <f aca="true">IF(OR(P21="Xong",P21="Bỏ"),"",IF(B21&lt;TODAY(),"Quá hạn",IF(B21=TODAY(),"Hôm nay","")))</f>
        <v/>
      </c>
      <c r="R21" s="79"/>
    </row>
    <row r="22" customFormat="false" ht="31.5" hidden="false" customHeight="true" outlineLevel="0" collapsed="false">
      <c r="A22" s="73" t="n">
        <v>19</v>
      </c>
      <c r="B22" s="74" t="n">
        <f aca="false">WORKDAY(Settings!$C$4-1,A22,Holidays!$A$5:$A$40)</f>
        <v>46338</v>
      </c>
      <c r="C22" s="73" t="s">
        <v>125</v>
      </c>
      <c r="D22" s="73" t="n">
        <f aca="false">INT((A22-1)/5)+1</f>
        <v>4</v>
      </c>
      <c r="E22" s="73" t="n">
        <f aca="false">MOD(A22-1,10)+1</f>
        <v>9</v>
      </c>
      <c r="F22" s="66" t="s">
        <v>121</v>
      </c>
      <c r="G22" s="73" t="s">
        <v>402</v>
      </c>
      <c r="H22" s="75" t="str">
        <f aca="false">IFERROR(INDEX(Roles!$D$5:$D$26,MATCH(G22,Roles!$A$5:$A$26,0)),"")</f>
        <v>medilens-regulatory-privacy-officer</v>
      </c>
      <c r="I22" s="24" t="s">
        <v>473</v>
      </c>
      <c r="J22" s="24" t="s">
        <v>474</v>
      </c>
      <c r="K22" s="24" t="s">
        <v>475</v>
      </c>
      <c r="L22" s="24" t="s">
        <v>476</v>
      </c>
      <c r="M22" s="73"/>
      <c r="N22" s="76" t="n">
        <f aca="false">Settings!$C$5</f>
        <v>4</v>
      </c>
      <c r="O22" s="77"/>
      <c r="P22" s="78" t="s">
        <v>74</v>
      </c>
      <c r="Q22" s="73" t="str">
        <f aca="true">IF(OR(P22="Xong",P22="Bỏ"),"",IF(B22&lt;TODAY(),"Quá hạn",IF(B22=TODAY(),"Hôm nay","")))</f>
        <v/>
      </c>
      <c r="R22" s="79"/>
    </row>
    <row r="23" customFormat="false" ht="31.5" hidden="false" customHeight="true" outlineLevel="0" collapsed="false">
      <c r="A23" s="73" t="n">
        <v>20</v>
      </c>
      <c r="B23" s="74" t="n">
        <f aca="false">WORKDAY(Settings!$C$4-1,A23,Holidays!$A$5:$A$40)</f>
        <v>46339</v>
      </c>
      <c r="C23" s="73" t="s">
        <v>125</v>
      </c>
      <c r="D23" s="73" t="n">
        <f aca="false">INT((A23-1)/5)+1</f>
        <v>4</v>
      </c>
      <c r="E23" s="73" t="n">
        <f aca="false">MOD(A23-1,10)+1</f>
        <v>10</v>
      </c>
      <c r="F23" s="66" t="s">
        <v>121</v>
      </c>
      <c r="G23" s="73" t="s">
        <v>477</v>
      </c>
      <c r="H23" s="75" t="str">
        <f aca="false">IFERROR(INDEX(Roles!$D$5:$D$26,MATCH(G23,Roles!$A$5:$A$26,0)),"")</f>
        <v>medilens-qc-release-gatekeeper</v>
      </c>
      <c r="I23" s="24" t="s">
        <v>478</v>
      </c>
      <c r="J23" s="24" t="s">
        <v>479</v>
      </c>
      <c r="K23" s="24" t="s">
        <v>480</v>
      </c>
      <c r="L23" s="24" t="s">
        <v>481</v>
      </c>
      <c r="M23" s="80" t="s">
        <v>129</v>
      </c>
      <c r="N23" s="76" t="n">
        <f aca="false">Settings!$C$5</f>
        <v>4</v>
      </c>
      <c r="O23" s="77"/>
      <c r="P23" s="78" t="s">
        <v>74</v>
      </c>
      <c r="Q23" s="73" t="str">
        <f aca="true">IF(OR(P23="Xong",P23="Bỏ"),"",IF(B23&lt;TODAY(),"Quá hạn",IF(B23=TODAY(),"Hôm nay","")))</f>
        <v/>
      </c>
      <c r="R23" s="79"/>
    </row>
    <row r="24" customFormat="false" ht="31.5" hidden="false" customHeight="true" outlineLevel="0" collapsed="false">
      <c r="A24" s="73" t="n">
        <v>21</v>
      </c>
      <c r="B24" s="74" t="n">
        <f aca="false">WORKDAY(Settings!$C$4-1,A24,Holidays!$A$5:$A$40)</f>
        <v>46342</v>
      </c>
      <c r="C24" s="73" t="s">
        <v>132</v>
      </c>
      <c r="D24" s="73" t="n">
        <f aca="false">INT((A24-1)/5)+1</f>
        <v>5</v>
      </c>
      <c r="E24" s="73" t="n">
        <f aca="false">MOD(A24-1,10)+1</f>
        <v>1</v>
      </c>
      <c r="F24" s="67" t="s">
        <v>130</v>
      </c>
      <c r="G24" s="73" t="s">
        <v>468</v>
      </c>
      <c r="H24" s="75" t="str">
        <f aca="false">IFERROR(INDEX(Roles!$D$5:$D$26,MATCH(G24,Roles!$A$5:$A$26,0)),"")</f>
        <v>medilens-solution-architect</v>
      </c>
      <c r="I24" s="24" t="s">
        <v>482</v>
      </c>
      <c r="J24" s="24" t="s">
        <v>483</v>
      </c>
      <c r="K24" s="24" t="s">
        <v>484</v>
      </c>
      <c r="L24" s="24" t="s">
        <v>485</v>
      </c>
      <c r="M24" s="73"/>
      <c r="N24" s="76" t="n">
        <f aca="false">Settings!$C$5</f>
        <v>4</v>
      </c>
      <c r="O24" s="77"/>
      <c r="P24" s="78" t="s">
        <v>74</v>
      </c>
      <c r="Q24" s="73" t="str">
        <f aca="true">IF(OR(P24="Xong",P24="Bỏ"),"",IF(B24&lt;TODAY(),"Quá hạn",IF(B24=TODAY(),"Hôm nay","")))</f>
        <v/>
      </c>
      <c r="R24" s="79"/>
    </row>
    <row r="25" customFormat="false" ht="31.5" hidden="false" customHeight="true" outlineLevel="0" collapsed="false">
      <c r="A25" s="73" t="n">
        <v>22</v>
      </c>
      <c r="B25" s="74" t="n">
        <f aca="false">WORKDAY(Settings!$C$4-1,A25,Holidays!$A$5:$A$40)</f>
        <v>46343</v>
      </c>
      <c r="C25" s="73" t="s">
        <v>132</v>
      </c>
      <c r="D25" s="73" t="n">
        <f aca="false">INT((A25-1)/5)+1</f>
        <v>5</v>
      </c>
      <c r="E25" s="73" t="n">
        <f aca="false">MOD(A25-1,10)+1</f>
        <v>2</v>
      </c>
      <c r="F25" s="67" t="s">
        <v>130</v>
      </c>
      <c r="G25" s="73" t="s">
        <v>486</v>
      </c>
      <c r="H25" s="75" t="str">
        <f aca="false">IFERROR(INDEX(Roles!$D$5:$D$26,MATCH(G25,Roles!$A$5:$A$26,0)),"")</f>
        <v>medilens-cloud-devops-engineer</v>
      </c>
      <c r="I25" s="24" t="s">
        <v>487</v>
      </c>
      <c r="J25" s="24" t="s">
        <v>488</v>
      </c>
      <c r="K25" s="24" t="s">
        <v>489</v>
      </c>
      <c r="L25" s="24" t="s">
        <v>490</v>
      </c>
      <c r="M25" s="73"/>
      <c r="N25" s="76" t="n">
        <f aca="false">Settings!$C$5</f>
        <v>4</v>
      </c>
      <c r="O25" s="77"/>
      <c r="P25" s="78" t="s">
        <v>74</v>
      </c>
      <c r="Q25" s="73" t="str">
        <f aca="true">IF(OR(P25="Xong",P25="Bỏ"),"",IF(B25&lt;TODAY(),"Quá hạn",IF(B25=TODAY(),"Hôm nay","")))</f>
        <v/>
      </c>
      <c r="R25" s="79"/>
    </row>
    <row r="26" customFormat="false" ht="31.5" hidden="false" customHeight="true" outlineLevel="0" collapsed="false">
      <c r="A26" s="73" t="n">
        <v>23</v>
      </c>
      <c r="B26" s="74" t="n">
        <f aca="false">WORKDAY(Settings!$C$4-1,A26,Holidays!$A$5:$A$40)</f>
        <v>46344</v>
      </c>
      <c r="C26" s="73" t="s">
        <v>132</v>
      </c>
      <c r="D26" s="73" t="n">
        <f aca="false">INT((A26-1)/5)+1</f>
        <v>5</v>
      </c>
      <c r="E26" s="73" t="n">
        <f aca="false">MOD(A26-1,10)+1</f>
        <v>3</v>
      </c>
      <c r="F26" s="67" t="s">
        <v>130</v>
      </c>
      <c r="G26" s="73" t="s">
        <v>486</v>
      </c>
      <c r="H26" s="75" t="str">
        <f aca="false">IFERROR(INDEX(Roles!$D$5:$D$26,MATCH(G26,Roles!$A$5:$A$26,0)),"")</f>
        <v>medilens-cloud-devops-engineer</v>
      </c>
      <c r="I26" s="24" t="s">
        <v>491</v>
      </c>
      <c r="J26" s="24" t="s">
        <v>492</v>
      </c>
      <c r="K26" s="24" t="s">
        <v>493</v>
      </c>
      <c r="L26" s="24" t="s">
        <v>494</v>
      </c>
      <c r="M26" s="73"/>
      <c r="N26" s="76" t="n">
        <f aca="false">Settings!$C$5</f>
        <v>4</v>
      </c>
      <c r="O26" s="77"/>
      <c r="P26" s="78" t="s">
        <v>74</v>
      </c>
      <c r="Q26" s="73" t="str">
        <f aca="true">IF(OR(P26="Xong",P26="Bỏ"),"",IF(B26&lt;TODAY(),"Quá hạn",IF(B26=TODAY(),"Hôm nay","")))</f>
        <v/>
      </c>
      <c r="R26" s="79"/>
    </row>
    <row r="27" customFormat="false" ht="45.75" hidden="false" customHeight="true" outlineLevel="0" collapsed="false">
      <c r="A27" s="73" t="n">
        <v>24</v>
      </c>
      <c r="B27" s="74" t="n">
        <f aca="false">WORKDAY(Settings!$C$4-1,A27,Holidays!$A$5:$A$40)</f>
        <v>46345</v>
      </c>
      <c r="C27" s="73" t="s">
        <v>132</v>
      </c>
      <c r="D27" s="73" t="n">
        <f aca="false">INT((A27-1)/5)+1</f>
        <v>5</v>
      </c>
      <c r="E27" s="73" t="n">
        <f aca="false">MOD(A27-1,10)+1</f>
        <v>4</v>
      </c>
      <c r="F27" s="67" t="s">
        <v>130</v>
      </c>
      <c r="G27" s="73" t="s">
        <v>486</v>
      </c>
      <c r="H27" s="75" t="str">
        <f aca="false">IFERROR(INDEX(Roles!$D$5:$D$26,MATCH(G27,Roles!$A$5:$A$26,0)),"")</f>
        <v>medilens-cloud-devops-engineer</v>
      </c>
      <c r="I27" s="24" t="s">
        <v>495</v>
      </c>
      <c r="J27" s="24" t="s">
        <v>496</v>
      </c>
      <c r="K27" s="24" t="s">
        <v>497</v>
      </c>
      <c r="L27" s="24" t="s">
        <v>498</v>
      </c>
      <c r="M27" s="73"/>
      <c r="N27" s="76" t="n">
        <f aca="false">Settings!$C$5</f>
        <v>4</v>
      </c>
      <c r="O27" s="77"/>
      <c r="P27" s="78" t="s">
        <v>74</v>
      </c>
      <c r="Q27" s="73" t="str">
        <f aca="true">IF(OR(P27="Xong",P27="Bỏ"),"",IF(B27&lt;TODAY(),"Quá hạn",IF(B27=TODAY(),"Hôm nay","")))</f>
        <v/>
      </c>
      <c r="R27" s="79"/>
    </row>
    <row r="28" customFormat="false" ht="45.75" hidden="false" customHeight="true" outlineLevel="0" collapsed="false">
      <c r="A28" s="73" t="n">
        <v>25</v>
      </c>
      <c r="B28" s="74" t="n">
        <f aca="false">WORKDAY(Settings!$C$4-1,A28,Holidays!$A$5:$A$40)</f>
        <v>46346</v>
      </c>
      <c r="C28" s="73" t="s">
        <v>132</v>
      </c>
      <c r="D28" s="73" t="n">
        <f aca="false">INT((A28-1)/5)+1</f>
        <v>5</v>
      </c>
      <c r="E28" s="73" t="n">
        <f aca="false">MOD(A28-1,10)+1</f>
        <v>5</v>
      </c>
      <c r="F28" s="67" t="s">
        <v>130</v>
      </c>
      <c r="G28" s="73" t="s">
        <v>486</v>
      </c>
      <c r="H28" s="75" t="str">
        <f aca="false">IFERROR(INDEX(Roles!$D$5:$D$26,MATCH(G28,Roles!$A$5:$A$26,0)),"")</f>
        <v>medilens-cloud-devops-engineer</v>
      </c>
      <c r="I28" s="24" t="s">
        <v>499</v>
      </c>
      <c r="J28" s="24" t="s">
        <v>500</v>
      </c>
      <c r="K28" s="24" t="s">
        <v>501</v>
      </c>
      <c r="L28" s="24" t="s">
        <v>502</v>
      </c>
      <c r="M28" s="73"/>
      <c r="N28" s="76" t="n">
        <f aca="false">Settings!$C$5</f>
        <v>4</v>
      </c>
      <c r="O28" s="77"/>
      <c r="P28" s="78" t="s">
        <v>74</v>
      </c>
      <c r="Q28" s="73" t="str">
        <f aca="true">IF(OR(P28="Xong",P28="Bỏ"),"",IF(B28&lt;TODAY(),"Quá hạn",IF(B28=TODAY(),"Hôm nay","")))</f>
        <v/>
      </c>
      <c r="R28" s="79"/>
    </row>
    <row r="29" customFormat="false" ht="31.5" hidden="false" customHeight="true" outlineLevel="0" collapsed="false">
      <c r="A29" s="73" t="n">
        <v>26</v>
      </c>
      <c r="B29" s="74" t="n">
        <f aca="false">WORKDAY(Settings!$C$4-1,A29,Holidays!$A$5:$A$40)</f>
        <v>46349</v>
      </c>
      <c r="C29" s="73" t="s">
        <v>132</v>
      </c>
      <c r="D29" s="73" t="n">
        <f aca="false">INT((A29-1)/5)+1</f>
        <v>6</v>
      </c>
      <c r="E29" s="73" t="n">
        <f aca="false">MOD(A29-1,10)+1</f>
        <v>6</v>
      </c>
      <c r="F29" s="67" t="s">
        <v>130</v>
      </c>
      <c r="G29" s="73" t="s">
        <v>503</v>
      </c>
      <c r="H29" s="75" t="str">
        <f aca="false">IFERROR(INDEX(Roles!$D$5:$D$26,MATCH(G29,Roles!$A$5:$A$26,0)),"")</f>
        <v>medilens-backend-engineer</v>
      </c>
      <c r="I29" s="24" t="s">
        <v>504</v>
      </c>
      <c r="J29" s="24" t="s">
        <v>505</v>
      </c>
      <c r="K29" s="24" t="s">
        <v>506</v>
      </c>
      <c r="L29" s="24" t="s">
        <v>507</v>
      </c>
      <c r="M29" s="73"/>
      <c r="N29" s="76" t="n">
        <f aca="false">Settings!$C$5</f>
        <v>4</v>
      </c>
      <c r="O29" s="77"/>
      <c r="P29" s="78" t="s">
        <v>74</v>
      </c>
      <c r="Q29" s="73" t="str">
        <f aca="true">IF(OR(P29="Xong",P29="Bỏ"),"",IF(B29&lt;TODAY(),"Quá hạn",IF(B29=TODAY(),"Hôm nay","")))</f>
        <v/>
      </c>
      <c r="R29" s="79"/>
    </row>
    <row r="30" customFormat="false" ht="31.5" hidden="false" customHeight="true" outlineLevel="0" collapsed="false">
      <c r="A30" s="73" t="n">
        <v>27</v>
      </c>
      <c r="B30" s="74" t="n">
        <f aca="false">WORKDAY(Settings!$C$4-1,A30,Holidays!$A$5:$A$40)</f>
        <v>46351</v>
      </c>
      <c r="C30" s="73" t="s">
        <v>132</v>
      </c>
      <c r="D30" s="73" t="n">
        <f aca="false">INT((A30-1)/5)+1</f>
        <v>6</v>
      </c>
      <c r="E30" s="73" t="n">
        <f aca="false">MOD(A30-1,10)+1</f>
        <v>7</v>
      </c>
      <c r="F30" s="67" t="s">
        <v>130</v>
      </c>
      <c r="G30" s="73" t="s">
        <v>503</v>
      </c>
      <c r="H30" s="75" t="str">
        <f aca="false">IFERROR(INDEX(Roles!$D$5:$D$26,MATCH(G30,Roles!$A$5:$A$26,0)),"")</f>
        <v>medilens-backend-engineer</v>
      </c>
      <c r="I30" s="24" t="s">
        <v>508</v>
      </c>
      <c r="J30" s="24" t="s">
        <v>509</v>
      </c>
      <c r="K30" s="24" t="s">
        <v>510</v>
      </c>
      <c r="L30" s="24" t="s">
        <v>511</v>
      </c>
      <c r="M30" s="73"/>
      <c r="N30" s="76" t="n">
        <f aca="false">Settings!$C$5</f>
        <v>4</v>
      </c>
      <c r="O30" s="77"/>
      <c r="P30" s="78" t="s">
        <v>74</v>
      </c>
      <c r="Q30" s="73" t="str">
        <f aca="true">IF(OR(P30="Xong",P30="Bỏ"),"",IF(B30&lt;TODAY(),"Quá hạn",IF(B30=TODAY(),"Hôm nay","")))</f>
        <v/>
      </c>
      <c r="R30" s="79"/>
    </row>
    <row r="31" customFormat="false" ht="31.5" hidden="false" customHeight="true" outlineLevel="0" collapsed="false">
      <c r="A31" s="73" t="n">
        <v>28</v>
      </c>
      <c r="B31" s="74" t="n">
        <f aca="false">WORKDAY(Settings!$C$4-1,A31,Holidays!$A$5:$A$40)</f>
        <v>46352</v>
      </c>
      <c r="C31" s="73" t="s">
        <v>132</v>
      </c>
      <c r="D31" s="73" t="n">
        <f aca="false">INT((A31-1)/5)+1</f>
        <v>6</v>
      </c>
      <c r="E31" s="73" t="n">
        <f aca="false">MOD(A31-1,10)+1</f>
        <v>8</v>
      </c>
      <c r="F31" s="67" t="s">
        <v>130</v>
      </c>
      <c r="G31" s="73" t="s">
        <v>512</v>
      </c>
      <c r="H31" s="75" t="str">
        <f aca="false">IFERROR(INDEX(Roles!$D$5:$D$26,MATCH(G31,Roles!$A$5:$A$26,0)),"")</f>
        <v>medilens-frontend-engineer</v>
      </c>
      <c r="I31" s="24" t="s">
        <v>513</v>
      </c>
      <c r="J31" s="24" t="s">
        <v>514</v>
      </c>
      <c r="K31" s="24" t="s">
        <v>515</v>
      </c>
      <c r="L31" s="24" t="s">
        <v>516</v>
      </c>
      <c r="M31" s="73"/>
      <c r="N31" s="76" t="n">
        <f aca="false">Settings!$C$5</f>
        <v>4</v>
      </c>
      <c r="O31" s="77"/>
      <c r="P31" s="78" t="s">
        <v>74</v>
      </c>
      <c r="Q31" s="73" t="str">
        <f aca="true">IF(OR(P31="Xong",P31="Bỏ"),"",IF(B31&lt;TODAY(),"Quá hạn",IF(B31=TODAY(),"Hôm nay","")))</f>
        <v/>
      </c>
      <c r="R31" s="79"/>
    </row>
    <row r="32" customFormat="false" ht="31.5" hidden="false" customHeight="true" outlineLevel="0" collapsed="false">
      <c r="A32" s="73" t="n">
        <v>29</v>
      </c>
      <c r="B32" s="74" t="n">
        <f aca="false">WORKDAY(Settings!$C$4-1,A32,Holidays!$A$5:$A$40)</f>
        <v>46353</v>
      </c>
      <c r="C32" s="73" t="s">
        <v>132</v>
      </c>
      <c r="D32" s="73" t="n">
        <f aca="false">INT((A32-1)/5)+1</f>
        <v>6</v>
      </c>
      <c r="E32" s="73" t="n">
        <f aca="false">MOD(A32-1,10)+1</f>
        <v>9</v>
      </c>
      <c r="F32" s="67" t="s">
        <v>130</v>
      </c>
      <c r="G32" s="73" t="s">
        <v>517</v>
      </c>
      <c r="H32" s="75" t="str">
        <f aca="false">IFERROR(INDEX(Roles!$D$5:$D$26,MATCH(G32,Roles!$A$5:$A$26,0)),"")</f>
        <v>medilens-security-engineer</v>
      </c>
      <c r="I32" s="24" t="s">
        <v>518</v>
      </c>
      <c r="J32" s="24" t="s">
        <v>519</v>
      </c>
      <c r="K32" s="24" t="s">
        <v>520</v>
      </c>
      <c r="L32" s="24" t="s">
        <v>521</v>
      </c>
      <c r="M32" s="73"/>
      <c r="N32" s="76" t="n">
        <f aca="false">Settings!$C$5</f>
        <v>4</v>
      </c>
      <c r="O32" s="77"/>
      <c r="P32" s="78" t="s">
        <v>74</v>
      </c>
      <c r="Q32" s="73" t="str">
        <f aca="true">IF(OR(P32="Xong",P32="Bỏ"),"",IF(B32&lt;TODAY(),"Quá hạn",IF(B32=TODAY(),"Hôm nay","")))</f>
        <v/>
      </c>
      <c r="R32" s="79"/>
    </row>
    <row r="33" customFormat="false" ht="27.75" hidden="false" customHeight="true" outlineLevel="0" collapsed="false">
      <c r="A33" s="73" t="n">
        <v>30</v>
      </c>
      <c r="B33" s="74" t="n">
        <f aca="false">WORKDAY(Settings!$C$4-1,A33,Holidays!$A$5:$A$40)</f>
        <v>46356</v>
      </c>
      <c r="C33" s="73" t="s">
        <v>132</v>
      </c>
      <c r="D33" s="73" t="n">
        <f aca="false">INT((A33-1)/5)+1</f>
        <v>6</v>
      </c>
      <c r="E33" s="73" t="n">
        <f aca="false">MOD(A33-1,10)+1</f>
        <v>10</v>
      </c>
      <c r="F33" s="67" t="s">
        <v>130</v>
      </c>
      <c r="G33" s="73" t="s">
        <v>393</v>
      </c>
      <c r="H33" s="75" t="str">
        <f aca="false">IFERROR(INDEX(Roles!$D$5:$D$26,MATCH(G33,Roles!$A$5:$A$26,0)),"")</f>
        <v>medilens-product-manager</v>
      </c>
      <c r="I33" s="24" t="s">
        <v>522</v>
      </c>
      <c r="J33" s="24" t="s">
        <v>523</v>
      </c>
      <c r="K33" s="24" t="s">
        <v>524</v>
      </c>
      <c r="L33" s="24" t="s">
        <v>525</v>
      </c>
      <c r="M33" s="73"/>
      <c r="N33" s="76" t="n">
        <f aca="false">Settings!$C$5</f>
        <v>4</v>
      </c>
      <c r="O33" s="77"/>
      <c r="P33" s="78" t="s">
        <v>74</v>
      </c>
      <c r="Q33" s="73" t="str">
        <f aca="true">IF(OR(P33="Xong",P33="Bỏ"),"",IF(B33&lt;TODAY(),"Quá hạn",IF(B33=TODAY(),"Hôm nay","")))</f>
        <v/>
      </c>
      <c r="R33" s="79"/>
    </row>
    <row r="34" customFormat="false" ht="31.5" hidden="false" customHeight="true" outlineLevel="0" collapsed="false">
      <c r="A34" s="73" t="n">
        <v>31</v>
      </c>
      <c r="B34" s="74" t="n">
        <f aca="false">WORKDAY(Settings!$C$4-1,A34,Holidays!$A$5:$A$40)</f>
        <v>46357</v>
      </c>
      <c r="C34" s="73" t="s">
        <v>187</v>
      </c>
      <c r="D34" s="73" t="n">
        <f aca="false">INT((A34-1)/5)+1</f>
        <v>7</v>
      </c>
      <c r="E34" s="73" t="n">
        <f aca="false">MOD(A34-1,10)+1</f>
        <v>1</v>
      </c>
      <c r="F34" s="67" t="s">
        <v>130</v>
      </c>
      <c r="G34" s="73" t="s">
        <v>503</v>
      </c>
      <c r="H34" s="75" t="str">
        <f aca="false">IFERROR(INDEX(Roles!$D$5:$D$26,MATCH(G34,Roles!$A$5:$A$26,0)),"")</f>
        <v>medilens-backend-engineer</v>
      </c>
      <c r="I34" s="24" t="s">
        <v>526</v>
      </c>
      <c r="J34" s="24" t="s">
        <v>527</v>
      </c>
      <c r="K34" s="24" t="s">
        <v>528</v>
      </c>
      <c r="L34" s="24" t="s">
        <v>529</v>
      </c>
      <c r="M34" s="73"/>
      <c r="N34" s="76" t="n">
        <f aca="false">Settings!$C$5</f>
        <v>4</v>
      </c>
      <c r="O34" s="77"/>
      <c r="P34" s="78" t="s">
        <v>74</v>
      </c>
      <c r="Q34" s="73" t="str">
        <f aca="true">IF(OR(P34="Xong",P34="Bỏ"),"",IF(B34&lt;TODAY(),"Quá hạn",IF(B34=TODAY(),"Hôm nay","")))</f>
        <v/>
      </c>
      <c r="R34" s="79"/>
    </row>
    <row r="35" customFormat="false" ht="31.5" hidden="false" customHeight="true" outlineLevel="0" collapsed="false">
      <c r="A35" s="73" t="n">
        <v>32</v>
      </c>
      <c r="B35" s="74" t="n">
        <f aca="false">WORKDAY(Settings!$C$4-1,A35,Holidays!$A$5:$A$40)</f>
        <v>46358</v>
      </c>
      <c r="C35" s="73" t="s">
        <v>187</v>
      </c>
      <c r="D35" s="73" t="n">
        <f aca="false">INT((A35-1)/5)+1</f>
        <v>7</v>
      </c>
      <c r="E35" s="73" t="n">
        <f aca="false">MOD(A35-1,10)+1</f>
        <v>2</v>
      </c>
      <c r="F35" s="67" t="s">
        <v>130</v>
      </c>
      <c r="G35" s="73" t="s">
        <v>503</v>
      </c>
      <c r="H35" s="75" t="str">
        <f aca="false">IFERROR(INDEX(Roles!$D$5:$D$26,MATCH(G35,Roles!$A$5:$A$26,0)),"")</f>
        <v>medilens-backend-engineer</v>
      </c>
      <c r="I35" s="24" t="s">
        <v>530</v>
      </c>
      <c r="J35" s="24" t="s">
        <v>531</v>
      </c>
      <c r="K35" s="24" t="s">
        <v>532</v>
      </c>
      <c r="L35" s="24" t="s">
        <v>533</v>
      </c>
      <c r="M35" s="73"/>
      <c r="N35" s="76" t="n">
        <f aca="false">Settings!$C$5</f>
        <v>4</v>
      </c>
      <c r="O35" s="77"/>
      <c r="P35" s="78" t="s">
        <v>74</v>
      </c>
      <c r="Q35" s="73" t="str">
        <f aca="true">IF(OR(P35="Xong",P35="Bỏ"),"",IF(B35&lt;TODAY(),"Quá hạn",IF(B35=TODAY(),"Hôm nay","")))</f>
        <v/>
      </c>
      <c r="R35" s="79"/>
    </row>
    <row r="36" customFormat="false" ht="27.75" hidden="false" customHeight="true" outlineLevel="0" collapsed="false">
      <c r="A36" s="73" t="n">
        <v>33</v>
      </c>
      <c r="B36" s="74" t="n">
        <f aca="false">WORKDAY(Settings!$C$4-1,A36,Holidays!$A$5:$A$40)</f>
        <v>46359</v>
      </c>
      <c r="C36" s="73" t="s">
        <v>187</v>
      </c>
      <c r="D36" s="73" t="n">
        <f aca="false">INT((A36-1)/5)+1</f>
        <v>7</v>
      </c>
      <c r="E36" s="73" t="n">
        <f aca="false">MOD(A36-1,10)+1</f>
        <v>3</v>
      </c>
      <c r="F36" s="67" t="s">
        <v>130</v>
      </c>
      <c r="G36" s="73" t="s">
        <v>503</v>
      </c>
      <c r="H36" s="75" t="str">
        <f aca="false">IFERROR(INDEX(Roles!$D$5:$D$26,MATCH(G36,Roles!$A$5:$A$26,0)),"")</f>
        <v>medilens-backend-engineer</v>
      </c>
      <c r="I36" s="24" t="s">
        <v>534</v>
      </c>
      <c r="J36" s="24" t="s">
        <v>535</v>
      </c>
      <c r="K36" s="24" t="s">
        <v>536</v>
      </c>
      <c r="L36" s="24" t="s">
        <v>537</v>
      </c>
      <c r="M36" s="73"/>
      <c r="N36" s="76" t="n">
        <f aca="false">Settings!$C$5</f>
        <v>4</v>
      </c>
      <c r="O36" s="77"/>
      <c r="P36" s="78" t="s">
        <v>74</v>
      </c>
      <c r="Q36" s="73" t="str">
        <f aca="true">IF(OR(P36="Xong",P36="Bỏ"),"",IF(B36&lt;TODAY(),"Quá hạn",IF(B36=TODAY(),"Hôm nay","")))</f>
        <v/>
      </c>
      <c r="R36" s="79"/>
    </row>
    <row r="37" customFormat="false" ht="31.5" hidden="false" customHeight="true" outlineLevel="0" collapsed="false">
      <c r="A37" s="73" t="n">
        <v>34</v>
      </c>
      <c r="B37" s="74" t="n">
        <f aca="false">WORKDAY(Settings!$C$4-1,A37,Holidays!$A$5:$A$40)</f>
        <v>46360</v>
      </c>
      <c r="C37" s="73" t="s">
        <v>187</v>
      </c>
      <c r="D37" s="73" t="n">
        <f aca="false">INT((A37-1)/5)+1</f>
        <v>7</v>
      </c>
      <c r="E37" s="73" t="n">
        <f aca="false">MOD(A37-1,10)+1</f>
        <v>4</v>
      </c>
      <c r="F37" s="67" t="s">
        <v>130</v>
      </c>
      <c r="G37" s="73" t="s">
        <v>503</v>
      </c>
      <c r="H37" s="75" t="str">
        <f aca="false">IFERROR(INDEX(Roles!$D$5:$D$26,MATCH(G37,Roles!$A$5:$A$26,0)),"")</f>
        <v>medilens-backend-engineer</v>
      </c>
      <c r="I37" s="24" t="s">
        <v>538</v>
      </c>
      <c r="J37" s="24" t="s">
        <v>539</v>
      </c>
      <c r="K37" s="24" t="s">
        <v>540</v>
      </c>
      <c r="L37" s="24" t="s">
        <v>541</v>
      </c>
      <c r="M37" s="73"/>
      <c r="N37" s="76" t="n">
        <f aca="false">Settings!$C$5</f>
        <v>4</v>
      </c>
      <c r="O37" s="77"/>
      <c r="P37" s="78" t="s">
        <v>74</v>
      </c>
      <c r="Q37" s="73" t="str">
        <f aca="true">IF(OR(P37="Xong",P37="Bỏ"),"",IF(B37&lt;TODAY(),"Quá hạn",IF(B37=TODAY(),"Hôm nay","")))</f>
        <v/>
      </c>
      <c r="R37" s="79"/>
    </row>
    <row r="38" customFormat="false" ht="31.5" hidden="false" customHeight="true" outlineLevel="0" collapsed="false">
      <c r="A38" s="73" t="n">
        <v>35</v>
      </c>
      <c r="B38" s="74" t="n">
        <f aca="false">WORKDAY(Settings!$C$4-1,A38,Holidays!$A$5:$A$40)</f>
        <v>46363</v>
      </c>
      <c r="C38" s="73" t="s">
        <v>187</v>
      </c>
      <c r="D38" s="73" t="n">
        <f aca="false">INT((A38-1)/5)+1</f>
        <v>7</v>
      </c>
      <c r="E38" s="73" t="n">
        <f aca="false">MOD(A38-1,10)+1</f>
        <v>5</v>
      </c>
      <c r="F38" s="67" t="s">
        <v>130</v>
      </c>
      <c r="G38" s="73" t="s">
        <v>503</v>
      </c>
      <c r="H38" s="75" t="str">
        <f aca="false">IFERROR(INDEX(Roles!$D$5:$D$26,MATCH(G38,Roles!$A$5:$A$26,0)),"")</f>
        <v>medilens-backend-engineer</v>
      </c>
      <c r="I38" s="24" t="s">
        <v>542</v>
      </c>
      <c r="J38" s="24" t="s">
        <v>543</v>
      </c>
      <c r="K38" s="24" t="s">
        <v>544</v>
      </c>
      <c r="L38" s="24" t="s">
        <v>545</v>
      </c>
      <c r="M38" s="73"/>
      <c r="N38" s="76" t="n">
        <f aca="false">Settings!$C$5</f>
        <v>4</v>
      </c>
      <c r="O38" s="77"/>
      <c r="P38" s="78" t="s">
        <v>74</v>
      </c>
      <c r="Q38" s="73" t="str">
        <f aca="true">IF(OR(P38="Xong",P38="Bỏ"),"",IF(B38&lt;TODAY(),"Quá hạn",IF(B38=TODAY(),"Hôm nay","")))</f>
        <v/>
      </c>
      <c r="R38" s="79"/>
    </row>
    <row r="39" customFormat="false" ht="31.5" hidden="false" customHeight="true" outlineLevel="0" collapsed="false">
      <c r="A39" s="73" t="n">
        <v>36</v>
      </c>
      <c r="B39" s="74" t="n">
        <f aca="false">WORKDAY(Settings!$C$4-1,A39,Holidays!$A$5:$A$40)</f>
        <v>46364</v>
      </c>
      <c r="C39" s="73" t="s">
        <v>187</v>
      </c>
      <c r="D39" s="73" t="n">
        <f aca="false">INT((A39-1)/5)+1</f>
        <v>8</v>
      </c>
      <c r="E39" s="73" t="n">
        <f aca="false">MOD(A39-1,10)+1</f>
        <v>6</v>
      </c>
      <c r="F39" s="67" t="s">
        <v>130</v>
      </c>
      <c r="G39" s="73" t="s">
        <v>486</v>
      </c>
      <c r="H39" s="75" t="str">
        <f aca="false">IFERROR(INDEX(Roles!$D$5:$D$26,MATCH(G39,Roles!$A$5:$A$26,0)),"")</f>
        <v>medilens-cloud-devops-engineer</v>
      </c>
      <c r="I39" s="24" t="s">
        <v>546</v>
      </c>
      <c r="J39" s="24" t="s">
        <v>547</v>
      </c>
      <c r="K39" s="24" t="s">
        <v>548</v>
      </c>
      <c r="L39" s="24" t="s">
        <v>549</v>
      </c>
      <c r="M39" s="73"/>
      <c r="N39" s="76" t="n">
        <f aca="false">Settings!$C$5</f>
        <v>4</v>
      </c>
      <c r="O39" s="77"/>
      <c r="P39" s="78" t="s">
        <v>74</v>
      </c>
      <c r="Q39" s="73" t="str">
        <f aca="true">IF(OR(P39="Xong",P39="Bỏ"),"",IF(B39&lt;TODAY(),"Quá hạn",IF(B39=TODAY(),"Hôm nay","")))</f>
        <v/>
      </c>
      <c r="R39" s="79"/>
    </row>
    <row r="40" customFormat="false" ht="31.5" hidden="false" customHeight="true" outlineLevel="0" collapsed="false">
      <c r="A40" s="73" t="n">
        <v>37</v>
      </c>
      <c r="B40" s="74" t="n">
        <f aca="false">WORKDAY(Settings!$C$4-1,A40,Holidays!$A$5:$A$40)</f>
        <v>46365</v>
      </c>
      <c r="C40" s="73" t="s">
        <v>187</v>
      </c>
      <c r="D40" s="73" t="n">
        <f aca="false">INT((A40-1)/5)+1</f>
        <v>8</v>
      </c>
      <c r="E40" s="73" t="n">
        <f aca="false">MOD(A40-1,10)+1</f>
        <v>7</v>
      </c>
      <c r="F40" s="67" t="s">
        <v>130</v>
      </c>
      <c r="G40" s="73" t="s">
        <v>420</v>
      </c>
      <c r="H40" s="75" t="str">
        <f aca="false">IFERROR(INDEX(Roles!$D$5:$D$26,MATCH(G40,Roles!$A$5:$A$26,0)),"")</f>
        <v>medilens-ux-ui-designer</v>
      </c>
      <c r="I40" s="24" t="s">
        <v>550</v>
      </c>
      <c r="J40" s="24" t="s">
        <v>551</v>
      </c>
      <c r="K40" s="24" t="s">
        <v>552</v>
      </c>
      <c r="L40" s="24" t="s">
        <v>553</v>
      </c>
      <c r="M40" s="73"/>
      <c r="N40" s="76" t="n">
        <f aca="false">Settings!$C$5</f>
        <v>4</v>
      </c>
      <c r="O40" s="77"/>
      <c r="P40" s="78" t="s">
        <v>74</v>
      </c>
      <c r="Q40" s="73" t="str">
        <f aca="true">IF(OR(P40="Xong",P40="Bỏ"),"",IF(B40&lt;TODAY(),"Quá hạn",IF(B40=TODAY(),"Hôm nay","")))</f>
        <v/>
      </c>
      <c r="R40" s="79"/>
    </row>
    <row r="41" customFormat="false" ht="31.5" hidden="false" customHeight="true" outlineLevel="0" collapsed="false">
      <c r="A41" s="73" t="n">
        <v>38</v>
      </c>
      <c r="B41" s="74" t="n">
        <f aca="false">WORKDAY(Settings!$C$4-1,A41,Holidays!$A$5:$A$40)</f>
        <v>46366</v>
      </c>
      <c r="C41" s="73" t="s">
        <v>187</v>
      </c>
      <c r="D41" s="73" t="n">
        <f aca="false">INT((A41-1)/5)+1</f>
        <v>8</v>
      </c>
      <c r="E41" s="73" t="n">
        <f aca="false">MOD(A41-1,10)+1</f>
        <v>8</v>
      </c>
      <c r="F41" s="67" t="s">
        <v>130</v>
      </c>
      <c r="G41" s="73" t="s">
        <v>512</v>
      </c>
      <c r="H41" s="75" t="str">
        <f aca="false">IFERROR(INDEX(Roles!$D$5:$D$26,MATCH(G41,Roles!$A$5:$A$26,0)),"")</f>
        <v>medilens-frontend-engineer</v>
      </c>
      <c r="I41" s="24" t="s">
        <v>554</v>
      </c>
      <c r="J41" s="24" t="s">
        <v>555</v>
      </c>
      <c r="K41" s="24" t="s">
        <v>556</v>
      </c>
      <c r="L41" s="24" t="s">
        <v>557</v>
      </c>
      <c r="M41" s="73"/>
      <c r="N41" s="76" t="n">
        <f aca="false">Settings!$C$5</f>
        <v>4</v>
      </c>
      <c r="O41" s="77"/>
      <c r="P41" s="78" t="s">
        <v>74</v>
      </c>
      <c r="Q41" s="73" t="str">
        <f aca="true">IF(OR(P41="Xong",P41="Bỏ"),"",IF(B41&lt;TODAY(),"Quá hạn",IF(B41=TODAY(),"Hôm nay","")))</f>
        <v/>
      </c>
      <c r="R41" s="79"/>
    </row>
    <row r="42" customFormat="false" ht="31.5" hidden="false" customHeight="true" outlineLevel="0" collapsed="false">
      <c r="A42" s="73" t="n">
        <v>39</v>
      </c>
      <c r="B42" s="74" t="n">
        <f aca="false">WORKDAY(Settings!$C$4-1,A42,Holidays!$A$5:$A$40)</f>
        <v>46367</v>
      </c>
      <c r="C42" s="73" t="s">
        <v>187</v>
      </c>
      <c r="D42" s="73" t="n">
        <f aca="false">INT((A42-1)/5)+1</f>
        <v>8</v>
      </c>
      <c r="E42" s="73" t="n">
        <f aca="false">MOD(A42-1,10)+1</f>
        <v>9</v>
      </c>
      <c r="F42" s="67" t="s">
        <v>130</v>
      </c>
      <c r="G42" s="73" t="s">
        <v>558</v>
      </c>
      <c r="H42" s="75" t="str">
        <f aca="false">IFERROR(INDEX(Roles!$D$5:$D$26,MATCH(G42,Roles!$A$5:$A$26,0)),"")</f>
        <v>medilens-data-engineer</v>
      </c>
      <c r="I42" s="24" t="s">
        <v>559</v>
      </c>
      <c r="J42" s="24" t="s">
        <v>560</v>
      </c>
      <c r="K42" s="24" t="s">
        <v>561</v>
      </c>
      <c r="L42" s="24" t="s">
        <v>562</v>
      </c>
      <c r="M42" s="73"/>
      <c r="N42" s="76" t="n">
        <f aca="false">Settings!$C$5</f>
        <v>4</v>
      </c>
      <c r="O42" s="77"/>
      <c r="P42" s="78" t="s">
        <v>74</v>
      </c>
      <c r="Q42" s="73" t="str">
        <f aca="true">IF(OR(P42="Xong",P42="Bỏ"),"",IF(B42&lt;TODAY(),"Quá hạn",IF(B42=TODAY(),"Hôm nay","")))</f>
        <v/>
      </c>
      <c r="R42" s="79"/>
    </row>
    <row r="43" customFormat="false" ht="31.5" hidden="false" customHeight="true" outlineLevel="0" collapsed="false">
      <c r="A43" s="73" t="n">
        <v>40</v>
      </c>
      <c r="B43" s="74" t="n">
        <f aca="false">WORKDAY(Settings!$C$4-1,A43,Holidays!$A$5:$A$40)</f>
        <v>46370</v>
      </c>
      <c r="C43" s="73" t="s">
        <v>187</v>
      </c>
      <c r="D43" s="73" t="n">
        <f aca="false">INT((A43-1)/5)+1</f>
        <v>8</v>
      </c>
      <c r="E43" s="73" t="n">
        <f aca="false">MOD(A43-1,10)+1</f>
        <v>10</v>
      </c>
      <c r="F43" s="67" t="s">
        <v>130</v>
      </c>
      <c r="G43" s="73" t="s">
        <v>563</v>
      </c>
      <c r="H43" s="75" t="str">
        <f aca="false">IFERROR(INDEX(Roles!$D$5:$D$26,MATCH(G43,Roles!$A$5:$A$26,0)),"")</f>
        <v>medilens-qa-engineer</v>
      </c>
      <c r="I43" s="24" t="s">
        <v>564</v>
      </c>
      <c r="J43" s="24" t="s">
        <v>565</v>
      </c>
      <c r="K43" s="24" t="s">
        <v>566</v>
      </c>
      <c r="L43" s="24" t="s">
        <v>567</v>
      </c>
      <c r="M43" s="73"/>
      <c r="N43" s="76" t="n">
        <f aca="false">Settings!$C$5</f>
        <v>4</v>
      </c>
      <c r="O43" s="77"/>
      <c r="P43" s="78" t="s">
        <v>74</v>
      </c>
      <c r="Q43" s="73" t="str">
        <f aca="true">IF(OR(P43="Xong",P43="Bỏ"),"",IF(B43&lt;TODAY(),"Quá hạn",IF(B43=TODAY(),"Hôm nay","")))</f>
        <v/>
      </c>
      <c r="R43" s="79"/>
    </row>
    <row r="44" customFormat="false" ht="31.5" hidden="false" customHeight="true" outlineLevel="0" collapsed="false">
      <c r="A44" s="73" t="n">
        <v>41</v>
      </c>
      <c r="B44" s="74" t="n">
        <f aca="false">WORKDAY(Settings!$C$4-1,A44,Holidays!$A$5:$A$40)</f>
        <v>46371</v>
      </c>
      <c r="C44" s="73" t="s">
        <v>133</v>
      </c>
      <c r="D44" s="73" t="n">
        <f aca="false">INT((A44-1)/5)+1</f>
        <v>9</v>
      </c>
      <c r="E44" s="73" t="n">
        <f aca="false">MOD(A44-1,10)+1</f>
        <v>1</v>
      </c>
      <c r="F44" s="67" t="s">
        <v>130</v>
      </c>
      <c r="G44" s="73" t="s">
        <v>454</v>
      </c>
      <c r="H44" s="75" t="str">
        <f aca="false">IFERROR(INDEX(Roles!$D$5:$D$26,MATCH(G44,Roles!$A$5:$A$26,0)),"")</f>
        <v>medilens-ai-ml-engineer</v>
      </c>
      <c r="I44" s="24" t="s">
        <v>568</v>
      </c>
      <c r="J44" s="24" t="s">
        <v>569</v>
      </c>
      <c r="K44" s="24" t="s">
        <v>570</v>
      </c>
      <c r="L44" s="24" t="s">
        <v>571</v>
      </c>
      <c r="M44" s="73"/>
      <c r="N44" s="76" t="n">
        <f aca="false">Settings!$C$5</f>
        <v>4</v>
      </c>
      <c r="O44" s="77"/>
      <c r="P44" s="78" t="s">
        <v>74</v>
      </c>
      <c r="Q44" s="73" t="str">
        <f aca="true">IF(OR(P44="Xong",P44="Bỏ"),"",IF(B44&lt;TODAY(),"Quá hạn",IF(B44=TODAY(),"Hôm nay","")))</f>
        <v/>
      </c>
      <c r="R44" s="79"/>
    </row>
    <row r="45" customFormat="false" ht="31.5" hidden="false" customHeight="true" outlineLevel="0" collapsed="false">
      <c r="A45" s="73" t="n">
        <v>42</v>
      </c>
      <c r="B45" s="74" t="n">
        <f aca="false">WORKDAY(Settings!$C$4-1,A45,Holidays!$A$5:$A$40)</f>
        <v>46372</v>
      </c>
      <c r="C45" s="73" t="s">
        <v>133</v>
      </c>
      <c r="D45" s="73" t="n">
        <f aca="false">INT((A45-1)/5)+1</f>
        <v>9</v>
      </c>
      <c r="E45" s="73" t="n">
        <f aca="false">MOD(A45-1,10)+1</f>
        <v>2</v>
      </c>
      <c r="F45" s="67" t="s">
        <v>130</v>
      </c>
      <c r="G45" s="73" t="s">
        <v>454</v>
      </c>
      <c r="H45" s="75" t="str">
        <f aca="false">IFERROR(INDEX(Roles!$D$5:$D$26,MATCH(G45,Roles!$A$5:$A$26,0)),"")</f>
        <v>medilens-ai-ml-engineer</v>
      </c>
      <c r="I45" s="24" t="s">
        <v>572</v>
      </c>
      <c r="J45" s="24" t="s">
        <v>572</v>
      </c>
      <c r="K45" s="24" t="s">
        <v>573</v>
      </c>
      <c r="L45" s="24" t="s">
        <v>574</v>
      </c>
      <c r="M45" s="73"/>
      <c r="N45" s="76" t="n">
        <f aca="false">Settings!$C$5</f>
        <v>4</v>
      </c>
      <c r="O45" s="77"/>
      <c r="P45" s="78" t="s">
        <v>74</v>
      </c>
      <c r="Q45" s="73" t="str">
        <f aca="true">IF(OR(P45="Xong",P45="Bỏ"),"",IF(B45&lt;TODAY(),"Quá hạn",IF(B45=TODAY(),"Hôm nay","")))</f>
        <v/>
      </c>
      <c r="R45" s="79"/>
    </row>
    <row r="46" customFormat="false" ht="27.75" hidden="false" customHeight="true" outlineLevel="0" collapsed="false">
      <c r="A46" s="73" t="n">
        <v>43</v>
      </c>
      <c r="B46" s="74" t="n">
        <f aca="false">WORKDAY(Settings!$C$4-1,A46,Holidays!$A$5:$A$40)</f>
        <v>46373</v>
      </c>
      <c r="C46" s="73" t="s">
        <v>133</v>
      </c>
      <c r="D46" s="73" t="n">
        <f aca="false">INT((A46-1)/5)+1</f>
        <v>9</v>
      </c>
      <c r="E46" s="73" t="n">
        <f aca="false">MOD(A46-1,10)+1</f>
        <v>3</v>
      </c>
      <c r="F46" s="67" t="s">
        <v>130</v>
      </c>
      <c r="G46" s="73" t="s">
        <v>454</v>
      </c>
      <c r="H46" s="75" t="str">
        <f aca="false">IFERROR(INDEX(Roles!$D$5:$D$26,MATCH(G46,Roles!$A$5:$A$26,0)),"")</f>
        <v>medilens-ai-ml-engineer</v>
      </c>
      <c r="I46" s="24" t="s">
        <v>575</v>
      </c>
      <c r="J46" s="24" t="s">
        <v>576</v>
      </c>
      <c r="K46" s="24" t="s">
        <v>577</v>
      </c>
      <c r="L46" s="24" t="s">
        <v>578</v>
      </c>
      <c r="M46" s="73"/>
      <c r="N46" s="76" t="n">
        <f aca="false">Settings!$C$5</f>
        <v>4</v>
      </c>
      <c r="O46" s="77"/>
      <c r="P46" s="78" t="s">
        <v>74</v>
      </c>
      <c r="Q46" s="73" t="str">
        <f aca="true">IF(OR(P46="Xong",P46="Bỏ"),"",IF(B46&lt;TODAY(),"Quá hạn",IF(B46=TODAY(),"Hôm nay","")))</f>
        <v/>
      </c>
      <c r="R46" s="79"/>
    </row>
    <row r="47" customFormat="false" ht="31.5" hidden="false" customHeight="true" outlineLevel="0" collapsed="false">
      <c r="A47" s="73" t="n">
        <v>44</v>
      </c>
      <c r="B47" s="74" t="n">
        <f aca="false">WORKDAY(Settings!$C$4-1,A47,Holidays!$A$5:$A$40)</f>
        <v>46374</v>
      </c>
      <c r="C47" s="73" t="s">
        <v>133</v>
      </c>
      <c r="D47" s="73" t="n">
        <f aca="false">INT((A47-1)/5)+1</f>
        <v>9</v>
      </c>
      <c r="E47" s="73" t="n">
        <f aca="false">MOD(A47-1,10)+1</f>
        <v>4</v>
      </c>
      <c r="F47" s="67" t="s">
        <v>130</v>
      </c>
      <c r="G47" s="73" t="s">
        <v>579</v>
      </c>
      <c r="H47" s="75" t="str">
        <f aca="false">IFERROR(INDEX(Roles!$D$5:$D$26,MATCH(G47,Roles!$A$5:$A$26,0)),"")</f>
        <v>medilens-mlops-engineer</v>
      </c>
      <c r="I47" s="24" t="s">
        <v>580</v>
      </c>
      <c r="J47" s="24" t="s">
        <v>581</v>
      </c>
      <c r="K47" s="24" t="s">
        <v>582</v>
      </c>
      <c r="L47" s="24" t="s">
        <v>583</v>
      </c>
      <c r="M47" s="73"/>
      <c r="N47" s="76" t="n">
        <f aca="false">Settings!$C$5</f>
        <v>4</v>
      </c>
      <c r="O47" s="77"/>
      <c r="P47" s="78" t="s">
        <v>74</v>
      </c>
      <c r="Q47" s="73" t="str">
        <f aca="true">IF(OR(P47="Xong",P47="Bỏ"),"",IF(B47&lt;TODAY(),"Quá hạn",IF(B47=TODAY(),"Hôm nay","")))</f>
        <v/>
      </c>
      <c r="R47" s="79"/>
    </row>
    <row r="48" customFormat="false" ht="31.5" hidden="false" customHeight="true" outlineLevel="0" collapsed="false">
      <c r="A48" s="73" t="n">
        <v>45</v>
      </c>
      <c r="B48" s="74" t="n">
        <f aca="false">WORKDAY(Settings!$C$4-1,A48,Holidays!$A$5:$A$40)</f>
        <v>46377</v>
      </c>
      <c r="C48" s="73" t="s">
        <v>133</v>
      </c>
      <c r="D48" s="73" t="n">
        <f aca="false">INT((A48-1)/5)+1</f>
        <v>9</v>
      </c>
      <c r="E48" s="73" t="n">
        <f aca="false">MOD(A48-1,10)+1</f>
        <v>5</v>
      </c>
      <c r="F48" s="67" t="s">
        <v>130</v>
      </c>
      <c r="G48" s="73" t="s">
        <v>454</v>
      </c>
      <c r="H48" s="75" t="str">
        <f aca="false">IFERROR(INDEX(Roles!$D$5:$D$26,MATCH(G48,Roles!$A$5:$A$26,0)),"")</f>
        <v>medilens-ai-ml-engineer</v>
      </c>
      <c r="I48" s="24" t="s">
        <v>584</v>
      </c>
      <c r="J48" s="24" t="s">
        <v>585</v>
      </c>
      <c r="K48" s="24" t="s">
        <v>586</v>
      </c>
      <c r="L48" s="24" t="s">
        <v>587</v>
      </c>
      <c r="M48" s="73"/>
      <c r="N48" s="76" t="n">
        <f aca="false">Settings!$C$5</f>
        <v>4</v>
      </c>
      <c r="O48" s="77"/>
      <c r="P48" s="78" t="s">
        <v>74</v>
      </c>
      <c r="Q48" s="73" t="str">
        <f aca="true">IF(OR(P48="Xong",P48="Bỏ"),"",IF(B48&lt;TODAY(),"Quá hạn",IF(B48=TODAY(),"Hôm nay","")))</f>
        <v/>
      </c>
      <c r="R48" s="79"/>
    </row>
    <row r="49" customFormat="false" ht="31.5" hidden="false" customHeight="true" outlineLevel="0" collapsed="false">
      <c r="A49" s="73" t="n">
        <v>46</v>
      </c>
      <c r="B49" s="74" t="n">
        <f aca="false">WORKDAY(Settings!$C$4-1,A49,Holidays!$A$5:$A$40)</f>
        <v>46378</v>
      </c>
      <c r="C49" s="73" t="s">
        <v>133</v>
      </c>
      <c r="D49" s="73" t="n">
        <f aca="false">INT((A49-1)/5)+1</f>
        <v>10</v>
      </c>
      <c r="E49" s="73" t="n">
        <f aca="false">MOD(A49-1,10)+1</f>
        <v>6</v>
      </c>
      <c r="F49" s="67" t="s">
        <v>130</v>
      </c>
      <c r="G49" s="73" t="s">
        <v>454</v>
      </c>
      <c r="H49" s="75" t="str">
        <f aca="false">IFERROR(INDEX(Roles!$D$5:$D$26,MATCH(G49,Roles!$A$5:$A$26,0)),"")</f>
        <v>medilens-ai-ml-engineer</v>
      </c>
      <c r="I49" s="24" t="s">
        <v>588</v>
      </c>
      <c r="J49" s="24" t="s">
        <v>589</v>
      </c>
      <c r="K49" s="24" t="s">
        <v>590</v>
      </c>
      <c r="L49" s="24" t="s">
        <v>591</v>
      </c>
      <c r="M49" s="73"/>
      <c r="N49" s="76" t="n">
        <f aca="false">Settings!$C$5</f>
        <v>4</v>
      </c>
      <c r="O49" s="77"/>
      <c r="P49" s="78" t="s">
        <v>74</v>
      </c>
      <c r="Q49" s="73" t="str">
        <f aca="true">IF(OR(P49="Xong",P49="Bỏ"),"",IF(B49&lt;TODAY(),"Quá hạn",IF(B49=TODAY(),"Hôm nay","")))</f>
        <v/>
      </c>
      <c r="R49" s="79"/>
    </row>
    <row r="50" customFormat="false" ht="31.5" hidden="false" customHeight="true" outlineLevel="0" collapsed="false">
      <c r="A50" s="73" t="n">
        <v>47</v>
      </c>
      <c r="B50" s="74" t="n">
        <f aca="false">WORKDAY(Settings!$C$4-1,A50,Holidays!$A$5:$A$40)</f>
        <v>46379</v>
      </c>
      <c r="C50" s="73" t="s">
        <v>133</v>
      </c>
      <c r="D50" s="73" t="n">
        <f aca="false">INT((A50-1)/5)+1</f>
        <v>10</v>
      </c>
      <c r="E50" s="73" t="n">
        <f aca="false">MOD(A50-1,10)+1</f>
        <v>7</v>
      </c>
      <c r="F50" s="67" t="s">
        <v>130</v>
      </c>
      <c r="G50" s="73" t="s">
        <v>486</v>
      </c>
      <c r="H50" s="75" t="str">
        <f aca="false">IFERROR(INDEX(Roles!$D$5:$D$26,MATCH(G50,Roles!$A$5:$A$26,0)),"")</f>
        <v>medilens-cloud-devops-engineer</v>
      </c>
      <c r="I50" s="24" t="s">
        <v>592</v>
      </c>
      <c r="J50" s="24" t="s">
        <v>593</v>
      </c>
      <c r="K50" s="24" t="s">
        <v>594</v>
      </c>
      <c r="L50" s="24" t="s">
        <v>595</v>
      </c>
      <c r="M50" s="73"/>
      <c r="N50" s="76" t="n">
        <f aca="false">Settings!$C$5</f>
        <v>4</v>
      </c>
      <c r="O50" s="77"/>
      <c r="P50" s="78" t="s">
        <v>74</v>
      </c>
      <c r="Q50" s="73" t="str">
        <f aca="true">IF(OR(P50="Xong",P50="Bỏ"),"",IF(B50&lt;TODAY(),"Quá hạn",IF(B50=TODAY(),"Hôm nay","")))</f>
        <v/>
      </c>
      <c r="R50" s="79"/>
    </row>
    <row r="51" customFormat="false" ht="31.5" hidden="false" customHeight="true" outlineLevel="0" collapsed="false">
      <c r="A51" s="73" t="n">
        <v>48</v>
      </c>
      <c r="B51" s="74" t="n">
        <f aca="false">WORKDAY(Settings!$C$4-1,A51,Holidays!$A$5:$A$40)</f>
        <v>46380</v>
      </c>
      <c r="C51" s="73" t="s">
        <v>133</v>
      </c>
      <c r="D51" s="73" t="n">
        <f aca="false">INT((A51-1)/5)+1</f>
        <v>10</v>
      </c>
      <c r="E51" s="73" t="n">
        <f aca="false">MOD(A51-1,10)+1</f>
        <v>8</v>
      </c>
      <c r="F51" s="67" t="s">
        <v>130</v>
      </c>
      <c r="G51" s="73" t="s">
        <v>596</v>
      </c>
      <c r="H51" s="75" t="str">
        <f aca="false">IFERROR(INDEX(Roles!$D$5:$D$26,MATCH(G51,Roles!$A$5:$A$26,0)),"")</f>
        <v>medilens-clinical-informaticist</v>
      </c>
      <c r="I51" s="24" t="s">
        <v>597</v>
      </c>
      <c r="J51" s="24" t="s">
        <v>598</v>
      </c>
      <c r="K51" s="24" t="s">
        <v>599</v>
      </c>
      <c r="L51" s="24" t="s">
        <v>600</v>
      </c>
      <c r="M51" s="73"/>
      <c r="N51" s="76" t="n">
        <f aca="false">Settings!$C$5</f>
        <v>4</v>
      </c>
      <c r="O51" s="77"/>
      <c r="P51" s="78" t="s">
        <v>74</v>
      </c>
      <c r="Q51" s="73" t="str">
        <f aca="true">IF(OR(P51="Xong",P51="Bỏ"),"",IF(B51&lt;TODAY(),"Quá hạn",IF(B51=TODAY(),"Hôm nay","")))</f>
        <v/>
      </c>
      <c r="R51" s="79"/>
    </row>
    <row r="52" customFormat="false" ht="31.5" hidden="false" customHeight="true" outlineLevel="0" collapsed="false">
      <c r="A52" s="73" t="n">
        <v>49</v>
      </c>
      <c r="B52" s="74" t="n">
        <f aca="false">WORKDAY(Settings!$C$4-1,A52,Holidays!$A$5:$A$40)</f>
        <v>46381</v>
      </c>
      <c r="C52" s="73" t="s">
        <v>133</v>
      </c>
      <c r="D52" s="73" t="n">
        <f aca="false">INT((A52-1)/5)+1</f>
        <v>10</v>
      </c>
      <c r="E52" s="73" t="n">
        <f aca="false">MOD(A52-1,10)+1</f>
        <v>9</v>
      </c>
      <c r="F52" s="67" t="s">
        <v>130</v>
      </c>
      <c r="G52" s="73" t="s">
        <v>459</v>
      </c>
      <c r="H52" s="75" t="str">
        <f aca="false">IFERROR(INDEX(Roles!$D$5:$D$26,MATCH(G52,Roles!$A$5:$A$26,0)),"")</f>
        <v>medilens-data-curator</v>
      </c>
      <c r="I52" s="24" t="s">
        <v>601</v>
      </c>
      <c r="J52" s="24" t="s">
        <v>602</v>
      </c>
      <c r="K52" s="24" t="s">
        <v>603</v>
      </c>
      <c r="L52" s="24" t="s">
        <v>604</v>
      </c>
      <c r="M52" s="80" t="s">
        <v>605</v>
      </c>
      <c r="N52" s="76" t="n">
        <f aca="false">Settings!$C$5</f>
        <v>4</v>
      </c>
      <c r="O52" s="77"/>
      <c r="P52" s="78" t="s">
        <v>74</v>
      </c>
      <c r="Q52" s="73" t="str">
        <f aca="true">IF(OR(P52="Xong",P52="Bỏ"),"",IF(B52&lt;TODAY(),"Quá hạn",IF(B52=TODAY(),"Hôm nay","")))</f>
        <v/>
      </c>
      <c r="R52" s="79"/>
    </row>
    <row r="53" customFormat="false" ht="31.5" hidden="false" customHeight="true" outlineLevel="0" collapsed="false">
      <c r="A53" s="73" t="n">
        <v>50</v>
      </c>
      <c r="B53" s="74" t="n">
        <f aca="false">WORKDAY(Settings!$C$4-1,A53,Holidays!$A$5:$A$40)</f>
        <v>46384</v>
      </c>
      <c r="C53" s="73" t="s">
        <v>133</v>
      </c>
      <c r="D53" s="73" t="n">
        <f aca="false">INT((A53-1)/5)+1</f>
        <v>10</v>
      </c>
      <c r="E53" s="73" t="n">
        <f aca="false">MOD(A53-1,10)+1</f>
        <v>10</v>
      </c>
      <c r="F53" s="67" t="s">
        <v>130</v>
      </c>
      <c r="G53" s="73" t="s">
        <v>477</v>
      </c>
      <c r="H53" s="75" t="str">
        <f aca="false">IFERROR(INDEX(Roles!$D$5:$D$26,MATCH(G53,Roles!$A$5:$A$26,0)),"")</f>
        <v>medilens-qc-release-gatekeeper</v>
      </c>
      <c r="I53" s="24" t="s">
        <v>606</v>
      </c>
      <c r="J53" s="24" t="s">
        <v>607</v>
      </c>
      <c r="K53" s="24" t="s">
        <v>608</v>
      </c>
      <c r="L53" s="24" t="s">
        <v>609</v>
      </c>
      <c r="M53" s="80" t="s">
        <v>610</v>
      </c>
      <c r="N53" s="76" t="n">
        <f aca="false">Settings!$C$5</f>
        <v>4</v>
      </c>
      <c r="O53" s="77"/>
      <c r="P53" s="78" t="s">
        <v>74</v>
      </c>
      <c r="Q53" s="73" t="str">
        <f aca="true">IF(OR(P53="Xong",P53="Bỏ"),"",IF(B53&lt;TODAY(),"Quá hạn",IF(B53=TODAY(),"Hôm nay","")))</f>
        <v/>
      </c>
      <c r="R53" s="79"/>
    </row>
    <row r="54" customFormat="false" ht="31.5" hidden="false" customHeight="true" outlineLevel="0" collapsed="false">
      <c r="A54" s="73" t="n">
        <v>51</v>
      </c>
      <c r="B54" s="74" t="n">
        <f aca="false">WORKDAY(Settings!$C$4-1,A54,Holidays!$A$5:$A$40)</f>
        <v>46385</v>
      </c>
      <c r="C54" s="73" t="s">
        <v>140</v>
      </c>
      <c r="D54" s="73" t="n">
        <f aca="false">INT((A54-1)/5)+1</f>
        <v>11</v>
      </c>
      <c r="E54" s="73" t="n">
        <f aca="false">MOD(A54-1,10)+1</f>
        <v>1</v>
      </c>
      <c r="F54" s="68" t="s">
        <v>138</v>
      </c>
      <c r="G54" s="73" t="s">
        <v>411</v>
      </c>
      <c r="H54" s="75" t="str">
        <f aca="false">IFERROR(INDEX(Roles!$D$5:$D$26,MATCH(G54,Roles!$A$5:$A$26,0)),"")</f>
        <v>medilens-business-analyst</v>
      </c>
      <c r="I54" s="24" t="s">
        <v>611</v>
      </c>
      <c r="J54" s="24" t="s">
        <v>612</v>
      </c>
      <c r="K54" s="24" t="s">
        <v>613</v>
      </c>
      <c r="L54" s="24" t="s">
        <v>614</v>
      </c>
      <c r="M54" s="73"/>
      <c r="N54" s="76" t="n">
        <f aca="false">Settings!$C$5</f>
        <v>4</v>
      </c>
      <c r="O54" s="77"/>
      <c r="P54" s="78" t="s">
        <v>74</v>
      </c>
      <c r="Q54" s="73" t="str">
        <f aca="true">IF(OR(P54="Xong",P54="Bỏ"),"",IF(B54&lt;TODAY(),"Quá hạn",IF(B54=TODAY(),"Hôm nay","")))</f>
        <v/>
      </c>
      <c r="R54" s="79"/>
    </row>
    <row r="55" customFormat="false" ht="31.5" hidden="false" customHeight="true" outlineLevel="0" collapsed="false">
      <c r="A55" s="73" t="n">
        <v>52</v>
      </c>
      <c r="B55" s="74" t="n">
        <f aca="false">WORKDAY(Settings!$C$4-1,A55,Holidays!$A$5:$A$40)</f>
        <v>46386</v>
      </c>
      <c r="C55" s="73" t="s">
        <v>140</v>
      </c>
      <c r="D55" s="73" t="n">
        <f aca="false">INT((A55-1)/5)+1</f>
        <v>11</v>
      </c>
      <c r="E55" s="73" t="n">
        <f aca="false">MOD(A55-1,10)+1</f>
        <v>2</v>
      </c>
      <c r="F55" s="68" t="s">
        <v>138</v>
      </c>
      <c r="G55" s="73" t="s">
        <v>512</v>
      </c>
      <c r="H55" s="75" t="str">
        <f aca="false">IFERROR(INDEX(Roles!$D$5:$D$26,MATCH(G55,Roles!$A$5:$A$26,0)),"")</f>
        <v>medilens-frontend-engineer</v>
      </c>
      <c r="I55" s="24" t="s">
        <v>615</v>
      </c>
      <c r="J55" s="24" t="s">
        <v>616</v>
      </c>
      <c r="K55" s="24" t="s">
        <v>617</v>
      </c>
      <c r="L55" s="24" t="s">
        <v>618</v>
      </c>
      <c r="M55" s="73"/>
      <c r="N55" s="76" t="n">
        <f aca="false">Settings!$C$5</f>
        <v>4</v>
      </c>
      <c r="O55" s="77"/>
      <c r="P55" s="78" t="s">
        <v>74</v>
      </c>
      <c r="Q55" s="73" t="str">
        <f aca="true">IF(OR(P55="Xong",P55="Bỏ"),"",IF(B55&lt;TODAY(),"Quá hạn",IF(B55=TODAY(),"Hôm nay","")))</f>
        <v/>
      </c>
      <c r="R55" s="79"/>
    </row>
    <row r="56" customFormat="false" ht="27.75" hidden="false" customHeight="true" outlineLevel="0" collapsed="false">
      <c r="A56" s="73" t="n">
        <v>53</v>
      </c>
      <c r="B56" s="74" t="n">
        <f aca="false">WORKDAY(Settings!$C$4-1,A56,Holidays!$A$5:$A$40)</f>
        <v>46387</v>
      </c>
      <c r="C56" s="73" t="s">
        <v>140</v>
      </c>
      <c r="D56" s="73" t="n">
        <f aca="false">INT((A56-1)/5)+1</f>
        <v>11</v>
      </c>
      <c r="E56" s="73" t="n">
        <f aca="false">MOD(A56-1,10)+1</f>
        <v>3</v>
      </c>
      <c r="F56" s="68" t="s">
        <v>138</v>
      </c>
      <c r="G56" s="73" t="s">
        <v>503</v>
      </c>
      <c r="H56" s="75" t="str">
        <f aca="false">IFERROR(INDEX(Roles!$D$5:$D$26,MATCH(G56,Roles!$A$5:$A$26,0)),"")</f>
        <v>medilens-backend-engineer</v>
      </c>
      <c r="I56" s="24" t="s">
        <v>619</v>
      </c>
      <c r="J56" s="24" t="s">
        <v>620</v>
      </c>
      <c r="K56" s="24" t="s">
        <v>621</v>
      </c>
      <c r="L56" s="24" t="s">
        <v>622</v>
      </c>
      <c r="M56" s="73"/>
      <c r="N56" s="76" t="n">
        <f aca="false">Settings!$C$5</f>
        <v>4</v>
      </c>
      <c r="O56" s="77"/>
      <c r="P56" s="78" t="s">
        <v>74</v>
      </c>
      <c r="Q56" s="73" t="str">
        <f aca="true">IF(OR(P56="Xong",P56="Bỏ"),"",IF(B56&lt;TODAY(),"Quá hạn",IF(B56=TODAY(),"Hôm nay","")))</f>
        <v/>
      </c>
      <c r="R56" s="79"/>
    </row>
    <row r="57" customFormat="false" ht="31.5" hidden="false" customHeight="true" outlineLevel="0" collapsed="false">
      <c r="A57" s="73" t="n">
        <v>54</v>
      </c>
      <c r="B57" s="74" t="n">
        <f aca="false">WORKDAY(Settings!$C$4-1,A57,Holidays!$A$5:$A$40)</f>
        <v>46391</v>
      </c>
      <c r="C57" s="73" t="s">
        <v>140</v>
      </c>
      <c r="D57" s="73" t="n">
        <f aca="false">INT((A57-1)/5)+1</f>
        <v>11</v>
      </c>
      <c r="E57" s="73" t="n">
        <f aca="false">MOD(A57-1,10)+1</f>
        <v>4</v>
      </c>
      <c r="F57" s="68" t="s">
        <v>138</v>
      </c>
      <c r="G57" s="73" t="s">
        <v>454</v>
      </c>
      <c r="H57" s="75" t="str">
        <f aca="false">IFERROR(INDEX(Roles!$D$5:$D$26,MATCH(G57,Roles!$A$5:$A$26,0)),"")</f>
        <v>medilens-ai-ml-engineer</v>
      </c>
      <c r="I57" s="24" t="s">
        <v>623</v>
      </c>
      <c r="J57" s="24" t="s">
        <v>624</v>
      </c>
      <c r="K57" s="24" t="s">
        <v>625</v>
      </c>
      <c r="L57" s="24" t="s">
        <v>626</v>
      </c>
      <c r="M57" s="73"/>
      <c r="N57" s="76" t="n">
        <f aca="false">Settings!$C$5</f>
        <v>4</v>
      </c>
      <c r="O57" s="77"/>
      <c r="P57" s="78" t="s">
        <v>74</v>
      </c>
      <c r="Q57" s="73" t="str">
        <f aca="true">IF(OR(P57="Xong",P57="Bỏ"),"",IF(B57&lt;TODAY(),"Quá hạn",IF(B57=TODAY(),"Hôm nay","")))</f>
        <v/>
      </c>
      <c r="R57" s="79"/>
    </row>
    <row r="58" customFormat="false" ht="31.5" hidden="false" customHeight="true" outlineLevel="0" collapsed="false">
      <c r="A58" s="73" t="n">
        <v>55</v>
      </c>
      <c r="B58" s="74" t="n">
        <f aca="false">WORKDAY(Settings!$C$4-1,A58,Holidays!$A$5:$A$40)</f>
        <v>46392</v>
      </c>
      <c r="C58" s="73" t="s">
        <v>140</v>
      </c>
      <c r="D58" s="73" t="n">
        <f aca="false">INT((A58-1)/5)+1</f>
        <v>11</v>
      </c>
      <c r="E58" s="73" t="n">
        <f aca="false">MOD(A58-1,10)+1</f>
        <v>5</v>
      </c>
      <c r="F58" s="68" t="s">
        <v>138</v>
      </c>
      <c r="G58" s="73" t="s">
        <v>454</v>
      </c>
      <c r="H58" s="75" t="str">
        <f aca="false">IFERROR(INDEX(Roles!$D$5:$D$26,MATCH(G58,Roles!$A$5:$A$26,0)),"")</f>
        <v>medilens-ai-ml-engineer</v>
      </c>
      <c r="I58" s="24" t="s">
        <v>627</v>
      </c>
      <c r="J58" s="24" t="s">
        <v>628</v>
      </c>
      <c r="K58" s="24" t="s">
        <v>629</v>
      </c>
      <c r="L58" s="24" t="s">
        <v>630</v>
      </c>
      <c r="M58" s="73"/>
      <c r="N58" s="76" t="n">
        <f aca="false">Settings!$C$5</f>
        <v>4</v>
      </c>
      <c r="O58" s="77"/>
      <c r="P58" s="78" t="s">
        <v>74</v>
      </c>
      <c r="Q58" s="73" t="str">
        <f aca="true">IF(OR(P58="Xong",P58="Bỏ"),"",IF(B58&lt;TODAY(),"Quá hạn",IF(B58=TODAY(),"Hôm nay","")))</f>
        <v/>
      </c>
      <c r="R58" s="79"/>
    </row>
    <row r="59" customFormat="false" ht="31.5" hidden="false" customHeight="true" outlineLevel="0" collapsed="false">
      <c r="A59" s="73" t="n">
        <v>56</v>
      </c>
      <c r="B59" s="74" t="n">
        <f aca="false">WORKDAY(Settings!$C$4-1,A59,Holidays!$A$5:$A$40)</f>
        <v>46393</v>
      </c>
      <c r="C59" s="73" t="s">
        <v>140</v>
      </c>
      <c r="D59" s="73" t="n">
        <f aca="false">INT((A59-1)/5)+1</f>
        <v>12</v>
      </c>
      <c r="E59" s="73" t="n">
        <f aca="false">MOD(A59-1,10)+1</f>
        <v>6</v>
      </c>
      <c r="F59" s="68" t="s">
        <v>138</v>
      </c>
      <c r="G59" s="73" t="s">
        <v>512</v>
      </c>
      <c r="H59" s="75" t="str">
        <f aca="false">IFERROR(INDEX(Roles!$D$5:$D$26,MATCH(G59,Roles!$A$5:$A$26,0)),"")</f>
        <v>medilens-frontend-engineer</v>
      </c>
      <c r="I59" s="24" t="s">
        <v>631</v>
      </c>
      <c r="J59" s="24" t="s">
        <v>632</v>
      </c>
      <c r="K59" s="24" t="s">
        <v>633</v>
      </c>
      <c r="L59" s="24" t="s">
        <v>634</v>
      </c>
      <c r="M59" s="73"/>
      <c r="N59" s="76" t="n">
        <f aca="false">Settings!$C$5</f>
        <v>4</v>
      </c>
      <c r="O59" s="77"/>
      <c r="P59" s="78" t="s">
        <v>74</v>
      </c>
      <c r="Q59" s="73" t="str">
        <f aca="true">IF(OR(P59="Xong",P59="Bỏ"),"",IF(B59&lt;TODAY(),"Quá hạn",IF(B59=TODAY(),"Hôm nay","")))</f>
        <v/>
      </c>
      <c r="R59" s="79"/>
    </row>
    <row r="60" customFormat="false" ht="31.5" hidden="false" customHeight="true" outlineLevel="0" collapsed="false">
      <c r="A60" s="73" t="n">
        <v>57</v>
      </c>
      <c r="B60" s="74" t="n">
        <f aca="false">WORKDAY(Settings!$C$4-1,A60,Holidays!$A$5:$A$40)</f>
        <v>46394</v>
      </c>
      <c r="C60" s="73" t="s">
        <v>140</v>
      </c>
      <c r="D60" s="73" t="n">
        <f aca="false">INT((A60-1)/5)+1</f>
        <v>12</v>
      </c>
      <c r="E60" s="73" t="n">
        <f aca="false">MOD(A60-1,10)+1</f>
        <v>7</v>
      </c>
      <c r="F60" s="68" t="s">
        <v>138</v>
      </c>
      <c r="G60" s="73" t="s">
        <v>563</v>
      </c>
      <c r="H60" s="75" t="str">
        <f aca="false">IFERROR(INDEX(Roles!$D$5:$D$26,MATCH(G60,Roles!$A$5:$A$26,0)),"")</f>
        <v>medilens-qa-engineer</v>
      </c>
      <c r="I60" s="24" t="s">
        <v>635</v>
      </c>
      <c r="J60" s="24" t="s">
        <v>636</v>
      </c>
      <c r="K60" s="24" t="s">
        <v>637</v>
      </c>
      <c r="L60" s="24" t="s">
        <v>638</v>
      </c>
      <c r="M60" s="73"/>
      <c r="N60" s="76" t="n">
        <f aca="false">Settings!$C$5</f>
        <v>4</v>
      </c>
      <c r="O60" s="77"/>
      <c r="P60" s="78" t="s">
        <v>74</v>
      </c>
      <c r="Q60" s="73" t="str">
        <f aca="true">IF(OR(P60="Xong",P60="Bỏ"),"",IF(B60&lt;TODAY(),"Quá hạn",IF(B60=TODAY(),"Hôm nay","")))</f>
        <v/>
      </c>
      <c r="R60" s="79"/>
    </row>
    <row r="61" customFormat="false" ht="31.5" hidden="false" customHeight="true" outlineLevel="0" collapsed="false">
      <c r="A61" s="73" t="n">
        <v>58</v>
      </c>
      <c r="B61" s="74" t="n">
        <f aca="false">WORKDAY(Settings!$C$4-1,A61,Holidays!$A$5:$A$40)</f>
        <v>46395</v>
      </c>
      <c r="C61" s="73" t="s">
        <v>140</v>
      </c>
      <c r="D61" s="73" t="n">
        <f aca="false">INT((A61-1)/5)+1</f>
        <v>12</v>
      </c>
      <c r="E61" s="73" t="n">
        <f aca="false">MOD(A61-1,10)+1</f>
        <v>8</v>
      </c>
      <c r="F61" s="68" t="s">
        <v>138</v>
      </c>
      <c r="G61" s="73" t="s">
        <v>517</v>
      </c>
      <c r="H61" s="75" t="str">
        <f aca="false">IFERROR(INDEX(Roles!$D$5:$D$26,MATCH(G61,Roles!$A$5:$A$26,0)),"")</f>
        <v>medilens-security-engineer</v>
      </c>
      <c r="I61" s="24" t="s">
        <v>639</v>
      </c>
      <c r="J61" s="24" t="s">
        <v>640</v>
      </c>
      <c r="K61" s="24" t="s">
        <v>641</v>
      </c>
      <c r="L61" s="24" t="s">
        <v>642</v>
      </c>
      <c r="M61" s="73"/>
      <c r="N61" s="76" t="n">
        <f aca="false">Settings!$C$5</f>
        <v>4</v>
      </c>
      <c r="O61" s="77"/>
      <c r="P61" s="78" t="s">
        <v>74</v>
      </c>
      <c r="Q61" s="73" t="str">
        <f aca="true">IF(OR(P61="Xong",P61="Bỏ"),"",IF(B61&lt;TODAY(),"Quá hạn",IF(B61=TODAY(),"Hôm nay","")))</f>
        <v/>
      </c>
      <c r="R61" s="79"/>
    </row>
    <row r="62" customFormat="false" ht="27.75" hidden="false" customHeight="true" outlineLevel="0" collapsed="false">
      <c r="A62" s="73" t="n">
        <v>59</v>
      </c>
      <c r="B62" s="74" t="n">
        <f aca="false">WORKDAY(Settings!$C$4-1,A62,Holidays!$A$5:$A$40)</f>
        <v>46398</v>
      </c>
      <c r="C62" s="73" t="s">
        <v>140</v>
      </c>
      <c r="D62" s="73" t="n">
        <f aca="false">INT((A62-1)/5)+1</f>
        <v>12</v>
      </c>
      <c r="E62" s="73" t="n">
        <f aca="false">MOD(A62-1,10)+1</f>
        <v>9</v>
      </c>
      <c r="F62" s="68" t="s">
        <v>138</v>
      </c>
      <c r="G62" s="73" t="s">
        <v>643</v>
      </c>
      <c r="H62" s="75" t="str">
        <f aca="false">IFERROR(INDEX(Roles!$D$5:$D$26,MATCH(G62,Roles!$A$5:$A$26,0)),"")</f>
        <v>medilens-technical-writer</v>
      </c>
      <c r="I62" s="24" t="s">
        <v>644</v>
      </c>
      <c r="J62" s="24" t="s">
        <v>645</v>
      </c>
      <c r="K62" s="24" t="s">
        <v>646</v>
      </c>
      <c r="L62" s="24" t="s">
        <v>647</v>
      </c>
      <c r="M62" s="73"/>
      <c r="N62" s="76" t="n">
        <f aca="false">Settings!$C$5</f>
        <v>4</v>
      </c>
      <c r="O62" s="77"/>
      <c r="P62" s="78" t="s">
        <v>74</v>
      </c>
      <c r="Q62" s="73" t="str">
        <f aca="true">IF(OR(P62="Xong",P62="Bỏ"),"",IF(B62&lt;TODAY(),"Quá hạn",IF(B62=TODAY(),"Hôm nay","")))</f>
        <v/>
      </c>
      <c r="R62" s="79"/>
    </row>
    <row r="63" customFormat="false" ht="27.75" hidden="false" customHeight="true" outlineLevel="0" collapsed="false">
      <c r="A63" s="73" t="n">
        <v>60</v>
      </c>
      <c r="B63" s="74" t="n">
        <f aca="false">WORKDAY(Settings!$C$4-1,A63,Holidays!$A$5:$A$40)</f>
        <v>46399</v>
      </c>
      <c r="C63" s="73" t="s">
        <v>140</v>
      </c>
      <c r="D63" s="73" t="n">
        <f aca="false">INT((A63-1)/5)+1</f>
        <v>12</v>
      </c>
      <c r="E63" s="73" t="n">
        <f aca="false">MOD(A63-1,10)+1</f>
        <v>10</v>
      </c>
      <c r="F63" s="68" t="s">
        <v>138</v>
      </c>
      <c r="G63" s="73" t="s">
        <v>393</v>
      </c>
      <c r="H63" s="75" t="str">
        <f aca="false">IFERROR(INDEX(Roles!$D$5:$D$26,MATCH(G63,Roles!$A$5:$A$26,0)),"")</f>
        <v>medilens-product-manager</v>
      </c>
      <c r="I63" s="24" t="s">
        <v>648</v>
      </c>
      <c r="J63" s="24" t="s">
        <v>649</v>
      </c>
      <c r="K63" s="24" t="s">
        <v>650</v>
      </c>
      <c r="L63" s="24" t="s">
        <v>651</v>
      </c>
      <c r="M63" s="73"/>
      <c r="N63" s="76" t="n">
        <f aca="false">Settings!$C$5</f>
        <v>4</v>
      </c>
      <c r="O63" s="77"/>
      <c r="P63" s="78" t="s">
        <v>74</v>
      </c>
      <c r="Q63" s="73" t="str">
        <f aca="true">IF(OR(P63="Xong",P63="Bỏ"),"",IF(B63&lt;TODAY(),"Quá hạn",IF(B63=TODAY(),"Hôm nay","")))</f>
        <v/>
      </c>
      <c r="R63" s="79"/>
    </row>
    <row r="64" customFormat="false" ht="31.5" hidden="false" customHeight="true" outlineLevel="0" collapsed="false">
      <c r="A64" s="73" t="n">
        <v>61</v>
      </c>
      <c r="B64" s="74" t="n">
        <f aca="false">WORKDAY(Settings!$C$4-1,A64,Holidays!$A$5:$A$40)</f>
        <v>46400</v>
      </c>
      <c r="C64" s="73" t="s">
        <v>188</v>
      </c>
      <c r="D64" s="73" t="n">
        <f aca="false">INT((A64-1)/5)+1</f>
        <v>13</v>
      </c>
      <c r="E64" s="73" t="n">
        <f aca="false">MOD(A64-1,10)+1</f>
        <v>1</v>
      </c>
      <c r="F64" s="68" t="s">
        <v>138</v>
      </c>
      <c r="G64" s="73" t="s">
        <v>454</v>
      </c>
      <c r="H64" s="75" t="str">
        <f aca="false">IFERROR(INDEX(Roles!$D$5:$D$26,MATCH(G64,Roles!$A$5:$A$26,0)),"")</f>
        <v>medilens-ai-ml-engineer</v>
      </c>
      <c r="I64" s="24" t="s">
        <v>652</v>
      </c>
      <c r="J64" s="24" t="s">
        <v>653</v>
      </c>
      <c r="K64" s="24" t="s">
        <v>654</v>
      </c>
      <c r="L64" s="24" t="s">
        <v>655</v>
      </c>
      <c r="M64" s="73"/>
      <c r="N64" s="76" t="n">
        <f aca="false">Settings!$C$5</f>
        <v>4</v>
      </c>
      <c r="O64" s="77"/>
      <c r="P64" s="78" t="s">
        <v>74</v>
      </c>
      <c r="Q64" s="73" t="str">
        <f aca="true">IF(OR(P64="Xong",P64="Bỏ"),"",IF(B64&lt;TODAY(),"Quá hạn",IF(B64=TODAY(),"Hôm nay","")))</f>
        <v/>
      </c>
      <c r="R64" s="79"/>
    </row>
    <row r="65" customFormat="false" ht="31.5" hidden="false" customHeight="true" outlineLevel="0" collapsed="false">
      <c r="A65" s="73" t="n">
        <v>62</v>
      </c>
      <c r="B65" s="74" t="n">
        <f aca="false">WORKDAY(Settings!$C$4-1,A65,Holidays!$A$5:$A$40)</f>
        <v>46401</v>
      </c>
      <c r="C65" s="73" t="s">
        <v>188</v>
      </c>
      <c r="D65" s="73" t="n">
        <f aca="false">INT((A65-1)/5)+1</f>
        <v>13</v>
      </c>
      <c r="E65" s="73" t="n">
        <f aca="false">MOD(A65-1,10)+1</f>
        <v>2</v>
      </c>
      <c r="F65" s="68" t="s">
        <v>138</v>
      </c>
      <c r="G65" s="73" t="s">
        <v>454</v>
      </c>
      <c r="H65" s="75" t="str">
        <f aca="false">IFERROR(INDEX(Roles!$D$5:$D$26,MATCH(G65,Roles!$A$5:$A$26,0)),"")</f>
        <v>medilens-ai-ml-engineer</v>
      </c>
      <c r="I65" s="24" t="s">
        <v>656</v>
      </c>
      <c r="J65" s="24" t="s">
        <v>657</v>
      </c>
      <c r="K65" s="24" t="s">
        <v>658</v>
      </c>
      <c r="L65" s="24" t="s">
        <v>659</v>
      </c>
      <c r="M65" s="73"/>
      <c r="N65" s="76" t="n">
        <f aca="false">Settings!$C$5</f>
        <v>4</v>
      </c>
      <c r="O65" s="77"/>
      <c r="P65" s="78" t="s">
        <v>74</v>
      </c>
      <c r="Q65" s="73" t="str">
        <f aca="true">IF(OR(P65="Xong",P65="Bỏ"),"",IF(B65&lt;TODAY(),"Quá hạn",IF(B65=TODAY(),"Hôm nay","")))</f>
        <v/>
      </c>
      <c r="R65" s="79"/>
    </row>
    <row r="66" customFormat="false" ht="31.5" hidden="false" customHeight="true" outlineLevel="0" collapsed="false">
      <c r="A66" s="73" t="n">
        <v>63</v>
      </c>
      <c r="B66" s="74" t="n">
        <f aca="false">WORKDAY(Settings!$C$4-1,A66,Holidays!$A$5:$A$40)</f>
        <v>46402</v>
      </c>
      <c r="C66" s="73" t="s">
        <v>188</v>
      </c>
      <c r="D66" s="73" t="n">
        <f aca="false">INT((A66-1)/5)+1</f>
        <v>13</v>
      </c>
      <c r="E66" s="73" t="n">
        <f aca="false">MOD(A66-1,10)+1</f>
        <v>3</v>
      </c>
      <c r="F66" s="68" t="s">
        <v>138</v>
      </c>
      <c r="G66" s="73" t="s">
        <v>503</v>
      </c>
      <c r="H66" s="75" t="str">
        <f aca="false">IFERROR(INDEX(Roles!$D$5:$D$26,MATCH(G66,Roles!$A$5:$A$26,0)),"")</f>
        <v>medilens-backend-engineer</v>
      </c>
      <c r="I66" s="24" t="s">
        <v>660</v>
      </c>
      <c r="J66" s="24" t="s">
        <v>661</v>
      </c>
      <c r="K66" s="24" t="s">
        <v>662</v>
      </c>
      <c r="L66" s="24" t="s">
        <v>663</v>
      </c>
      <c r="M66" s="73"/>
      <c r="N66" s="76" t="n">
        <f aca="false">Settings!$C$5</f>
        <v>4</v>
      </c>
      <c r="O66" s="77"/>
      <c r="P66" s="78" t="s">
        <v>74</v>
      </c>
      <c r="Q66" s="73" t="str">
        <f aca="true">IF(OR(P66="Xong",P66="Bỏ"),"",IF(B66&lt;TODAY(),"Quá hạn",IF(B66=TODAY(),"Hôm nay","")))</f>
        <v/>
      </c>
      <c r="R66" s="79"/>
    </row>
    <row r="67" customFormat="false" ht="31.5" hidden="false" customHeight="true" outlineLevel="0" collapsed="false">
      <c r="A67" s="73" t="n">
        <v>64</v>
      </c>
      <c r="B67" s="74" t="n">
        <f aca="false">WORKDAY(Settings!$C$4-1,A67,Holidays!$A$5:$A$40)</f>
        <v>46405</v>
      </c>
      <c r="C67" s="73" t="s">
        <v>188</v>
      </c>
      <c r="D67" s="73" t="n">
        <f aca="false">INT((A67-1)/5)+1</f>
        <v>13</v>
      </c>
      <c r="E67" s="73" t="n">
        <f aca="false">MOD(A67-1,10)+1</f>
        <v>4</v>
      </c>
      <c r="F67" s="68" t="s">
        <v>138</v>
      </c>
      <c r="G67" s="73" t="s">
        <v>512</v>
      </c>
      <c r="H67" s="75" t="str">
        <f aca="false">IFERROR(INDEX(Roles!$D$5:$D$26,MATCH(G67,Roles!$A$5:$A$26,0)),"")</f>
        <v>medilens-frontend-engineer</v>
      </c>
      <c r="I67" s="24" t="s">
        <v>664</v>
      </c>
      <c r="J67" s="24" t="s">
        <v>665</v>
      </c>
      <c r="K67" s="24" t="s">
        <v>666</v>
      </c>
      <c r="L67" s="24" t="s">
        <v>667</v>
      </c>
      <c r="M67" s="73"/>
      <c r="N67" s="76" t="n">
        <f aca="false">Settings!$C$5</f>
        <v>4</v>
      </c>
      <c r="O67" s="77"/>
      <c r="P67" s="78" t="s">
        <v>74</v>
      </c>
      <c r="Q67" s="73" t="str">
        <f aca="true">IF(OR(P67="Xong",P67="Bỏ"),"",IF(B67&lt;TODAY(),"Quá hạn",IF(B67=TODAY(),"Hôm nay","")))</f>
        <v/>
      </c>
      <c r="R67" s="79"/>
    </row>
    <row r="68" customFormat="false" ht="31.5" hidden="false" customHeight="true" outlineLevel="0" collapsed="false">
      <c r="A68" s="73" t="n">
        <v>65</v>
      </c>
      <c r="B68" s="74" t="n">
        <f aca="false">WORKDAY(Settings!$C$4-1,A68,Holidays!$A$5:$A$40)</f>
        <v>46406</v>
      </c>
      <c r="C68" s="73" t="s">
        <v>188</v>
      </c>
      <c r="D68" s="73" t="n">
        <f aca="false">INT((A68-1)/5)+1</f>
        <v>13</v>
      </c>
      <c r="E68" s="73" t="n">
        <f aca="false">MOD(A68-1,10)+1</f>
        <v>5</v>
      </c>
      <c r="F68" s="68" t="s">
        <v>138</v>
      </c>
      <c r="G68" s="73" t="s">
        <v>579</v>
      </c>
      <c r="H68" s="75" t="str">
        <f aca="false">IFERROR(INDEX(Roles!$D$5:$D$26,MATCH(G68,Roles!$A$5:$A$26,0)),"")</f>
        <v>medilens-mlops-engineer</v>
      </c>
      <c r="I68" s="24" t="s">
        <v>668</v>
      </c>
      <c r="J68" s="24" t="s">
        <v>669</v>
      </c>
      <c r="K68" s="24" t="s">
        <v>670</v>
      </c>
      <c r="L68" s="24" t="s">
        <v>671</v>
      </c>
      <c r="M68" s="73"/>
      <c r="N68" s="76" t="n">
        <f aca="false">Settings!$C$5</f>
        <v>4</v>
      </c>
      <c r="O68" s="77"/>
      <c r="P68" s="78" t="s">
        <v>74</v>
      </c>
      <c r="Q68" s="73" t="str">
        <f aca="true">IF(OR(P68="Xong",P68="Bỏ"),"",IF(B68&lt;TODAY(),"Quá hạn",IF(B68=TODAY(),"Hôm nay","")))</f>
        <v/>
      </c>
      <c r="R68" s="79"/>
    </row>
    <row r="69" customFormat="false" ht="31.5" hidden="false" customHeight="true" outlineLevel="0" collapsed="false">
      <c r="A69" s="73" t="n">
        <v>66</v>
      </c>
      <c r="B69" s="74" t="n">
        <f aca="false">WORKDAY(Settings!$C$4-1,A69,Holidays!$A$5:$A$40)</f>
        <v>46407</v>
      </c>
      <c r="C69" s="73" t="s">
        <v>188</v>
      </c>
      <c r="D69" s="73" t="n">
        <f aca="false">INT((A69-1)/5)+1</f>
        <v>14</v>
      </c>
      <c r="E69" s="73" t="n">
        <f aca="false">MOD(A69-1,10)+1</f>
        <v>6</v>
      </c>
      <c r="F69" s="68" t="s">
        <v>138</v>
      </c>
      <c r="G69" s="73" t="s">
        <v>454</v>
      </c>
      <c r="H69" s="75" t="str">
        <f aca="false">IFERROR(INDEX(Roles!$D$5:$D$26,MATCH(G69,Roles!$A$5:$A$26,0)),"")</f>
        <v>medilens-ai-ml-engineer</v>
      </c>
      <c r="I69" s="24" t="s">
        <v>672</v>
      </c>
      <c r="J69" s="24" t="s">
        <v>673</v>
      </c>
      <c r="K69" s="24" t="s">
        <v>674</v>
      </c>
      <c r="L69" s="24" t="s">
        <v>675</v>
      </c>
      <c r="M69" s="73"/>
      <c r="N69" s="76" t="n">
        <f aca="false">Settings!$C$5</f>
        <v>4</v>
      </c>
      <c r="O69" s="77"/>
      <c r="P69" s="78" t="s">
        <v>74</v>
      </c>
      <c r="Q69" s="73" t="str">
        <f aca="true">IF(OR(P69="Xong",P69="Bỏ"),"",IF(B69&lt;TODAY(),"Quá hạn",IF(B69=TODAY(),"Hôm nay","")))</f>
        <v/>
      </c>
      <c r="R69" s="79"/>
    </row>
    <row r="70" customFormat="false" ht="31.5" hidden="false" customHeight="true" outlineLevel="0" collapsed="false">
      <c r="A70" s="73" t="n">
        <v>67</v>
      </c>
      <c r="B70" s="74" t="n">
        <f aca="false">WORKDAY(Settings!$C$4-1,A70,Holidays!$A$5:$A$40)</f>
        <v>46408</v>
      </c>
      <c r="C70" s="73" t="s">
        <v>188</v>
      </c>
      <c r="D70" s="73" t="n">
        <f aca="false">INT((A70-1)/5)+1</f>
        <v>14</v>
      </c>
      <c r="E70" s="73" t="n">
        <f aca="false">MOD(A70-1,10)+1</f>
        <v>7</v>
      </c>
      <c r="F70" s="68" t="s">
        <v>138</v>
      </c>
      <c r="G70" s="73" t="s">
        <v>563</v>
      </c>
      <c r="H70" s="75" t="str">
        <f aca="false">IFERROR(INDEX(Roles!$D$5:$D$26,MATCH(G70,Roles!$A$5:$A$26,0)),"")</f>
        <v>medilens-qa-engineer</v>
      </c>
      <c r="I70" s="24" t="s">
        <v>676</v>
      </c>
      <c r="J70" s="24" t="s">
        <v>677</v>
      </c>
      <c r="K70" s="24" t="s">
        <v>678</v>
      </c>
      <c r="L70" s="24" t="s">
        <v>679</v>
      </c>
      <c r="M70" s="73"/>
      <c r="N70" s="76" t="n">
        <f aca="false">Settings!$C$5</f>
        <v>4</v>
      </c>
      <c r="O70" s="77"/>
      <c r="P70" s="78" t="s">
        <v>74</v>
      </c>
      <c r="Q70" s="73" t="str">
        <f aca="true">IF(OR(P70="Xong",P70="Bỏ"),"",IF(B70&lt;TODAY(),"Quá hạn",IF(B70=TODAY(),"Hôm nay","")))</f>
        <v/>
      </c>
      <c r="R70" s="79"/>
    </row>
    <row r="71" customFormat="false" ht="31.5" hidden="false" customHeight="true" outlineLevel="0" collapsed="false">
      <c r="A71" s="73" t="n">
        <v>68</v>
      </c>
      <c r="B71" s="74" t="n">
        <f aca="false">WORKDAY(Settings!$C$4-1,A71,Holidays!$A$5:$A$40)</f>
        <v>46409</v>
      </c>
      <c r="C71" s="73" t="s">
        <v>188</v>
      </c>
      <c r="D71" s="73" t="n">
        <f aca="false">INT((A71-1)/5)+1</f>
        <v>14</v>
      </c>
      <c r="E71" s="73" t="n">
        <f aca="false">MOD(A71-1,10)+1</f>
        <v>8</v>
      </c>
      <c r="F71" s="68" t="s">
        <v>138</v>
      </c>
      <c r="G71" s="73" t="s">
        <v>429</v>
      </c>
      <c r="H71" s="75" t="str">
        <f aca="false">IFERROR(INDEX(Roles!$D$5:$D$26,MATCH(G71,Roles!$A$5:$A$26,0)),"")</f>
        <v>medilens-clinical-safety-officer</v>
      </c>
      <c r="I71" s="24" t="s">
        <v>680</v>
      </c>
      <c r="J71" s="24" t="s">
        <v>681</v>
      </c>
      <c r="K71" s="24" t="s">
        <v>682</v>
      </c>
      <c r="L71" s="24" t="s">
        <v>683</v>
      </c>
      <c r="M71" s="73"/>
      <c r="N71" s="76" t="n">
        <f aca="false">Settings!$C$5</f>
        <v>4</v>
      </c>
      <c r="O71" s="77"/>
      <c r="P71" s="78" t="s">
        <v>74</v>
      </c>
      <c r="Q71" s="73" t="str">
        <f aca="true">IF(OR(P71="Xong",P71="Bỏ"),"",IF(B71&lt;TODAY(),"Quá hạn",IF(B71=TODAY(),"Hôm nay","")))</f>
        <v/>
      </c>
      <c r="R71" s="79"/>
    </row>
    <row r="72" customFormat="false" ht="31.5" hidden="false" customHeight="true" outlineLevel="0" collapsed="false">
      <c r="A72" s="73" t="n">
        <v>69</v>
      </c>
      <c r="B72" s="74" t="n">
        <f aca="false">WORKDAY(Settings!$C$4-1,A72,Holidays!$A$5:$A$40)</f>
        <v>46412</v>
      </c>
      <c r="C72" s="73" t="s">
        <v>188</v>
      </c>
      <c r="D72" s="73" t="n">
        <f aca="false">INT((A72-1)/5)+1</f>
        <v>14</v>
      </c>
      <c r="E72" s="73" t="n">
        <f aca="false">MOD(A72-1,10)+1</f>
        <v>9</v>
      </c>
      <c r="F72" s="68" t="s">
        <v>138</v>
      </c>
      <c r="G72" s="73" t="s">
        <v>558</v>
      </c>
      <c r="H72" s="75" t="str">
        <f aca="false">IFERROR(INDEX(Roles!$D$5:$D$26,MATCH(G72,Roles!$A$5:$A$26,0)),"")</f>
        <v>medilens-data-engineer</v>
      </c>
      <c r="I72" s="24" t="s">
        <v>684</v>
      </c>
      <c r="J72" s="24" t="s">
        <v>685</v>
      </c>
      <c r="K72" s="24" t="s">
        <v>686</v>
      </c>
      <c r="L72" s="24" t="s">
        <v>687</v>
      </c>
      <c r="M72" s="73"/>
      <c r="N72" s="76" t="n">
        <f aca="false">Settings!$C$5</f>
        <v>4</v>
      </c>
      <c r="O72" s="77"/>
      <c r="P72" s="78" t="s">
        <v>74</v>
      </c>
      <c r="Q72" s="73" t="str">
        <f aca="true">IF(OR(P72="Xong",P72="Bỏ"),"",IF(B72&lt;TODAY(),"Quá hạn",IF(B72=TODAY(),"Hôm nay","")))</f>
        <v/>
      </c>
      <c r="R72" s="79"/>
    </row>
    <row r="73" customFormat="false" ht="27.75" hidden="false" customHeight="true" outlineLevel="0" collapsed="false">
      <c r="A73" s="73" t="n">
        <v>70</v>
      </c>
      <c r="B73" s="74" t="n">
        <f aca="false">WORKDAY(Settings!$C$4-1,A73,Holidays!$A$5:$A$40)</f>
        <v>46413</v>
      </c>
      <c r="C73" s="73" t="s">
        <v>188</v>
      </c>
      <c r="D73" s="73" t="n">
        <f aca="false">INT((A73-1)/5)+1</f>
        <v>14</v>
      </c>
      <c r="E73" s="73" t="n">
        <f aca="false">MOD(A73-1,10)+1</f>
        <v>10</v>
      </c>
      <c r="F73" s="68" t="s">
        <v>138</v>
      </c>
      <c r="G73" s="73" t="s">
        <v>393</v>
      </c>
      <c r="H73" s="75" t="str">
        <f aca="false">IFERROR(INDEX(Roles!$D$5:$D$26,MATCH(G73,Roles!$A$5:$A$26,0)),"")</f>
        <v>medilens-product-manager</v>
      </c>
      <c r="I73" s="24" t="s">
        <v>688</v>
      </c>
      <c r="J73" s="24" t="s">
        <v>689</v>
      </c>
      <c r="K73" s="24" t="s">
        <v>690</v>
      </c>
      <c r="L73" s="24" t="s">
        <v>651</v>
      </c>
      <c r="M73" s="73"/>
      <c r="N73" s="76" t="n">
        <f aca="false">Settings!$C$5</f>
        <v>4</v>
      </c>
      <c r="O73" s="77"/>
      <c r="P73" s="78" t="s">
        <v>74</v>
      </c>
      <c r="Q73" s="73" t="str">
        <f aca="true">IF(OR(P73="Xong",P73="Bỏ"),"",IF(B73&lt;TODAY(),"Quá hạn",IF(B73=TODAY(),"Hôm nay","")))</f>
        <v/>
      </c>
      <c r="R73" s="79"/>
    </row>
    <row r="74" customFormat="false" ht="31.5" hidden="false" customHeight="true" outlineLevel="0" collapsed="false">
      <c r="A74" s="73" t="n">
        <v>71</v>
      </c>
      <c r="B74" s="74" t="n">
        <f aca="false">WORKDAY(Settings!$C$4-1,A74,Holidays!$A$5:$A$40)</f>
        <v>46414</v>
      </c>
      <c r="C74" s="73" t="s">
        <v>189</v>
      </c>
      <c r="D74" s="73" t="n">
        <f aca="false">INT((A74-1)/5)+1</f>
        <v>15</v>
      </c>
      <c r="E74" s="73" t="n">
        <f aca="false">MOD(A74-1,10)+1</f>
        <v>1</v>
      </c>
      <c r="F74" s="68" t="s">
        <v>138</v>
      </c>
      <c r="G74" s="73" t="s">
        <v>420</v>
      </c>
      <c r="H74" s="75" t="str">
        <f aca="false">IFERROR(INDEX(Roles!$D$5:$D$26,MATCH(G74,Roles!$A$5:$A$26,0)),"")</f>
        <v>medilens-ux-ui-designer</v>
      </c>
      <c r="I74" s="24" t="s">
        <v>691</v>
      </c>
      <c r="J74" s="24" t="s">
        <v>692</v>
      </c>
      <c r="K74" s="24" t="s">
        <v>693</v>
      </c>
      <c r="L74" s="24" t="s">
        <v>694</v>
      </c>
      <c r="M74" s="73"/>
      <c r="N74" s="76" t="n">
        <f aca="false">Settings!$C$5</f>
        <v>4</v>
      </c>
      <c r="O74" s="77"/>
      <c r="P74" s="78" t="s">
        <v>74</v>
      </c>
      <c r="Q74" s="73" t="str">
        <f aca="true">IF(OR(P74="Xong",P74="Bỏ"),"",IF(B74&lt;TODAY(),"Quá hạn",IF(B74=TODAY(),"Hôm nay","")))</f>
        <v/>
      </c>
      <c r="R74" s="79"/>
    </row>
    <row r="75" customFormat="false" ht="31.5" hidden="false" customHeight="true" outlineLevel="0" collapsed="false">
      <c r="A75" s="73" t="n">
        <v>72</v>
      </c>
      <c r="B75" s="74" t="n">
        <f aca="false">WORKDAY(Settings!$C$4-1,A75,Holidays!$A$5:$A$40)</f>
        <v>46415</v>
      </c>
      <c r="C75" s="73" t="s">
        <v>189</v>
      </c>
      <c r="D75" s="73" t="n">
        <f aca="false">INT((A75-1)/5)+1</f>
        <v>15</v>
      </c>
      <c r="E75" s="73" t="n">
        <f aca="false">MOD(A75-1,10)+1</f>
        <v>2</v>
      </c>
      <c r="F75" s="68" t="s">
        <v>138</v>
      </c>
      <c r="G75" s="73" t="s">
        <v>695</v>
      </c>
      <c r="H75" s="75" t="str">
        <f aca="false">IFERROR(INDEX(Roles!$D$5:$D$26,MATCH(G75,Roles!$A$5:$A$26,0)),"")</f>
        <v>medilens-3d-medical-artist</v>
      </c>
      <c r="I75" s="24" t="s">
        <v>696</v>
      </c>
      <c r="J75" s="24" t="s">
        <v>697</v>
      </c>
      <c r="K75" s="24" t="s">
        <v>698</v>
      </c>
      <c r="L75" s="24" t="s">
        <v>699</v>
      </c>
      <c r="M75" s="73"/>
      <c r="N75" s="76" t="n">
        <f aca="false">Settings!$C$5</f>
        <v>4</v>
      </c>
      <c r="O75" s="77"/>
      <c r="P75" s="78" t="s">
        <v>74</v>
      </c>
      <c r="Q75" s="73" t="str">
        <f aca="true">IF(OR(P75="Xong",P75="Bỏ"),"",IF(B75&lt;TODAY(),"Quá hạn",IF(B75=TODAY(),"Hôm nay","")))</f>
        <v/>
      </c>
      <c r="R75" s="79"/>
    </row>
    <row r="76" customFormat="false" ht="31.5" hidden="false" customHeight="true" outlineLevel="0" collapsed="false">
      <c r="A76" s="73" t="n">
        <v>73</v>
      </c>
      <c r="B76" s="74" t="n">
        <f aca="false">WORKDAY(Settings!$C$4-1,A76,Holidays!$A$5:$A$40)</f>
        <v>46416</v>
      </c>
      <c r="C76" s="73" t="s">
        <v>189</v>
      </c>
      <c r="D76" s="73" t="n">
        <f aca="false">INT((A76-1)/5)+1</f>
        <v>15</v>
      </c>
      <c r="E76" s="73" t="n">
        <f aca="false">MOD(A76-1,10)+1</f>
        <v>3</v>
      </c>
      <c r="F76" s="68" t="s">
        <v>138</v>
      </c>
      <c r="G76" s="73" t="s">
        <v>512</v>
      </c>
      <c r="H76" s="75" t="str">
        <f aca="false">IFERROR(INDEX(Roles!$D$5:$D$26,MATCH(G76,Roles!$A$5:$A$26,0)),"")</f>
        <v>medilens-frontend-engineer</v>
      </c>
      <c r="I76" s="24" t="s">
        <v>700</v>
      </c>
      <c r="J76" s="24" t="s">
        <v>701</v>
      </c>
      <c r="K76" s="24" t="s">
        <v>702</v>
      </c>
      <c r="L76" s="24" t="s">
        <v>703</v>
      </c>
      <c r="M76" s="73"/>
      <c r="N76" s="76" t="n">
        <f aca="false">Settings!$C$5</f>
        <v>4</v>
      </c>
      <c r="O76" s="77"/>
      <c r="P76" s="78" t="s">
        <v>74</v>
      </c>
      <c r="Q76" s="73" t="str">
        <f aca="true">IF(OR(P76="Xong",P76="Bỏ"),"",IF(B76&lt;TODAY(),"Quá hạn",IF(B76=TODAY(),"Hôm nay","")))</f>
        <v/>
      </c>
      <c r="R76" s="79"/>
    </row>
    <row r="77" customFormat="false" ht="31.5" hidden="false" customHeight="true" outlineLevel="0" collapsed="false">
      <c r="A77" s="73" t="n">
        <v>74</v>
      </c>
      <c r="B77" s="74" t="n">
        <f aca="false">WORKDAY(Settings!$C$4-1,A77,Holidays!$A$5:$A$40)</f>
        <v>46419</v>
      </c>
      <c r="C77" s="73" t="s">
        <v>189</v>
      </c>
      <c r="D77" s="73" t="n">
        <f aca="false">INT((A77-1)/5)+1</f>
        <v>15</v>
      </c>
      <c r="E77" s="73" t="n">
        <f aca="false">MOD(A77-1,10)+1</f>
        <v>4</v>
      </c>
      <c r="F77" s="68" t="s">
        <v>138</v>
      </c>
      <c r="G77" s="73" t="s">
        <v>512</v>
      </c>
      <c r="H77" s="75" t="str">
        <f aca="false">IFERROR(INDEX(Roles!$D$5:$D$26,MATCH(G77,Roles!$A$5:$A$26,0)),"")</f>
        <v>medilens-frontend-engineer</v>
      </c>
      <c r="I77" s="24" t="s">
        <v>704</v>
      </c>
      <c r="J77" s="24" t="s">
        <v>705</v>
      </c>
      <c r="K77" s="24" t="s">
        <v>706</v>
      </c>
      <c r="L77" s="24" t="s">
        <v>707</v>
      </c>
      <c r="M77" s="73"/>
      <c r="N77" s="76" t="n">
        <f aca="false">Settings!$C$5</f>
        <v>4</v>
      </c>
      <c r="O77" s="77"/>
      <c r="P77" s="78" t="s">
        <v>74</v>
      </c>
      <c r="Q77" s="73" t="str">
        <f aca="true">IF(OR(P77="Xong",P77="Bỏ"),"",IF(B77&lt;TODAY(),"Quá hạn",IF(B77=TODAY(),"Hôm nay","")))</f>
        <v/>
      </c>
      <c r="R77" s="79"/>
    </row>
    <row r="78" customFormat="false" ht="31.5" hidden="false" customHeight="true" outlineLevel="0" collapsed="false">
      <c r="A78" s="73" t="n">
        <v>75</v>
      </c>
      <c r="B78" s="74" t="n">
        <f aca="false">WORKDAY(Settings!$C$4-1,A78,Holidays!$A$5:$A$40)</f>
        <v>46420</v>
      </c>
      <c r="C78" s="73" t="s">
        <v>189</v>
      </c>
      <c r="D78" s="73" t="n">
        <f aca="false">INT((A78-1)/5)+1</f>
        <v>15</v>
      </c>
      <c r="E78" s="73" t="n">
        <f aca="false">MOD(A78-1,10)+1</f>
        <v>5</v>
      </c>
      <c r="F78" s="68" t="s">
        <v>138</v>
      </c>
      <c r="G78" s="73" t="s">
        <v>503</v>
      </c>
      <c r="H78" s="75" t="str">
        <f aca="false">IFERROR(INDEX(Roles!$D$5:$D$26,MATCH(G78,Roles!$A$5:$A$26,0)),"")</f>
        <v>medilens-backend-engineer</v>
      </c>
      <c r="I78" s="24" t="s">
        <v>708</v>
      </c>
      <c r="J78" s="24" t="s">
        <v>709</v>
      </c>
      <c r="K78" s="24" t="s">
        <v>710</v>
      </c>
      <c r="L78" s="24" t="s">
        <v>711</v>
      </c>
      <c r="M78" s="73"/>
      <c r="N78" s="76" t="n">
        <f aca="false">Settings!$C$5</f>
        <v>4</v>
      </c>
      <c r="O78" s="77"/>
      <c r="P78" s="78" t="s">
        <v>74</v>
      </c>
      <c r="Q78" s="73" t="str">
        <f aca="true">IF(OR(P78="Xong",P78="Bỏ"),"",IF(B78&lt;TODAY(),"Quá hạn",IF(B78=TODAY(),"Hôm nay","")))</f>
        <v/>
      </c>
      <c r="R78" s="79"/>
    </row>
    <row r="79" customFormat="false" ht="31.5" hidden="false" customHeight="true" outlineLevel="0" collapsed="false">
      <c r="A79" s="73" t="n">
        <v>76</v>
      </c>
      <c r="B79" s="74" t="n">
        <f aca="false">WORKDAY(Settings!$C$4-1,A79,Holidays!$A$5:$A$40)</f>
        <v>46421</v>
      </c>
      <c r="C79" s="73" t="s">
        <v>189</v>
      </c>
      <c r="D79" s="73" t="n">
        <f aca="false">INT((A79-1)/5)+1</f>
        <v>16</v>
      </c>
      <c r="E79" s="73" t="n">
        <f aca="false">MOD(A79-1,10)+1</f>
        <v>6</v>
      </c>
      <c r="F79" s="68" t="s">
        <v>138</v>
      </c>
      <c r="G79" s="73" t="s">
        <v>454</v>
      </c>
      <c r="H79" s="75" t="str">
        <f aca="false">IFERROR(INDEX(Roles!$D$5:$D$26,MATCH(G79,Roles!$A$5:$A$26,0)),"")</f>
        <v>medilens-ai-ml-engineer</v>
      </c>
      <c r="I79" s="24" t="s">
        <v>712</v>
      </c>
      <c r="J79" s="24" t="s">
        <v>713</v>
      </c>
      <c r="K79" s="24" t="s">
        <v>714</v>
      </c>
      <c r="L79" s="24" t="s">
        <v>715</v>
      </c>
      <c r="M79" s="73"/>
      <c r="N79" s="76" t="n">
        <f aca="false">Settings!$C$5</f>
        <v>4</v>
      </c>
      <c r="O79" s="77"/>
      <c r="P79" s="78" t="s">
        <v>74</v>
      </c>
      <c r="Q79" s="73" t="str">
        <f aca="true">IF(OR(P79="Xong",P79="Bỏ"),"",IF(B79&lt;TODAY(),"Quá hạn",IF(B79=TODAY(),"Hôm nay","")))</f>
        <v/>
      </c>
      <c r="R79" s="79"/>
    </row>
    <row r="80" customFormat="false" ht="27.75" hidden="false" customHeight="true" outlineLevel="0" collapsed="false">
      <c r="A80" s="73" t="n">
        <v>77</v>
      </c>
      <c r="B80" s="74" t="n">
        <f aca="false">WORKDAY(Settings!$C$4-1,A80,Holidays!$A$5:$A$40)</f>
        <v>46429</v>
      </c>
      <c r="C80" s="73" t="s">
        <v>189</v>
      </c>
      <c r="D80" s="73" t="n">
        <f aca="false">INT((A80-1)/5)+1</f>
        <v>16</v>
      </c>
      <c r="E80" s="73" t="n">
        <f aca="false">MOD(A80-1,10)+1</f>
        <v>7</v>
      </c>
      <c r="F80" s="68" t="s">
        <v>138</v>
      </c>
      <c r="G80" s="73" t="s">
        <v>596</v>
      </c>
      <c r="H80" s="75" t="str">
        <f aca="false">IFERROR(INDEX(Roles!$D$5:$D$26,MATCH(G80,Roles!$A$5:$A$26,0)),"")</f>
        <v>medilens-clinical-informaticist</v>
      </c>
      <c r="I80" s="24" t="s">
        <v>716</v>
      </c>
      <c r="J80" s="24" t="s">
        <v>717</v>
      </c>
      <c r="K80" s="24" t="s">
        <v>718</v>
      </c>
      <c r="L80" s="24" t="s">
        <v>719</v>
      </c>
      <c r="M80" s="73"/>
      <c r="N80" s="76" t="n">
        <f aca="false">Settings!$C$5</f>
        <v>4</v>
      </c>
      <c r="O80" s="77"/>
      <c r="P80" s="78" t="s">
        <v>74</v>
      </c>
      <c r="Q80" s="73" t="str">
        <f aca="true">IF(OR(P80="Xong",P80="Bỏ"),"",IF(B80&lt;TODAY(),"Quá hạn",IF(B80=TODAY(),"Hôm nay","")))</f>
        <v/>
      </c>
      <c r="R80" s="79"/>
    </row>
    <row r="81" customFormat="false" ht="27.75" hidden="false" customHeight="true" outlineLevel="0" collapsed="false">
      <c r="A81" s="73" t="n">
        <v>78</v>
      </c>
      <c r="B81" s="74" t="n">
        <f aca="false">WORKDAY(Settings!$C$4-1,A81,Holidays!$A$5:$A$40)</f>
        <v>46430</v>
      </c>
      <c r="C81" s="73" t="s">
        <v>189</v>
      </c>
      <c r="D81" s="73" t="n">
        <f aca="false">INT((A81-1)/5)+1</f>
        <v>16</v>
      </c>
      <c r="E81" s="73" t="n">
        <f aca="false">MOD(A81-1,10)+1</f>
        <v>8</v>
      </c>
      <c r="F81" s="68" t="s">
        <v>138</v>
      </c>
      <c r="G81" s="73" t="s">
        <v>563</v>
      </c>
      <c r="H81" s="75" t="str">
        <f aca="false">IFERROR(INDEX(Roles!$D$5:$D$26,MATCH(G81,Roles!$A$5:$A$26,0)),"")</f>
        <v>medilens-qa-engineer</v>
      </c>
      <c r="I81" s="24" t="s">
        <v>720</v>
      </c>
      <c r="J81" s="24" t="s">
        <v>721</v>
      </c>
      <c r="K81" s="24" t="s">
        <v>722</v>
      </c>
      <c r="L81" s="24" t="s">
        <v>723</v>
      </c>
      <c r="M81" s="73"/>
      <c r="N81" s="76" t="n">
        <f aca="false">Settings!$C$5</f>
        <v>4</v>
      </c>
      <c r="O81" s="77"/>
      <c r="P81" s="78" t="s">
        <v>74</v>
      </c>
      <c r="Q81" s="73" t="str">
        <f aca="true">IF(OR(P81="Xong",P81="Bỏ"),"",IF(B81&lt;TODAY(),"Quá hạn",IF(B81=TODAY(),"Hôm nay","")))</f>
        <v/>
      </c>
      <c r="R81" s="79"/>
    </row>
    <row r="82" customFormat="false" ht="27.75" hidden="false" customHeight="true" outlineLevel="0" collapsed="false">
      <c r="A82" s="73" t="n">
        <v>79</v>
      </c>
      <c r="B82" s="74" t="n">
        <f aca="false">WORKDAY(Settings!$C$4-1,A82,Holidays!$A$5:$A$40)</f>
        <v>46433</v>
      </c>
      <c r="C82" s="73" t="s">
        <v>189</v>
      </c>
      <c r="D82" s="73" t="n">
        <f aca="false">INT((A82-1)/5)+1</f>
        <v>16</v>
      </c>
      <c r="E82" s="73" t="n">
        <f aca="false">MOD(A82-1,10)+1</f>
        <v>9</v>
      </c>
      <c r="F82" s="68" t="s">
        <v>138</v>
      </c>
      <c r="G82" s="73" t="s">
        <v>429</v>
      </c>
      <c r="H82" s="75" t="str">
        <f aca="false">IFERROR(INDEX(Roles!$D$5:$D$26,MATCH(G82,Roles!$A$5:$A$26,0)),"")</f>
        <v>medilens-clinical-safety-officer</v>
      </c>
      <c r="I82" s="24" t="s">
        <v>724</v>
      </c>
      <c r="J82" s="24" t="s">
        <v>725</v>
      </c>
      <c r="K82" s="24" t="s">
        <v>726</v>
      </c>
      <c r="L82" s="24" t="s">
        <v>727</v>
      </c>
      <c r="M82" s="73"/>
      <c r="N82" s="76" t="n">
        <f aca="false">Settings!$C$5</f>
        <v>4</v>
      </c>
      <c r="O82" s="77"/>
      <c r="P82" s="78" t="s">
        <v>74</v>
      </c>
      <c r="Q82" s="73" t="str">
        <f aca="true">IF(OR(P82="Xong",P82="Bỏ"),"",IF(B82&lt;TODAY(),"Quá hạn",IF(B82=TODAY(),"Hôm nay","")))</f>
        <v/>
      </c>
      <c r="R82" s="79"/>
    </row>
    <row r="83" customFormat="false" ht="31.5" hidden="false" customHeight="true" outlineLevel="0" collapsed="false">
      <c r="A83" s="73" t="n">
        <v>80</v>
      </c>
      <c r="B83" s="74" t="n">
        <f aca="false">WORKDAY(Settings!$C$4-1,A83,Holidays!$A$5:$A$40)</f>
        <v>46434</v>
      </c>
      <c r="C83" s="73" t="s">
        <v>189</v>
      </c>
      <c r="D83" s="73" t="n">
        <f aca="false">INT((A83-1)/5)+1</f>
        <v>16</v>
      </c>
      <c r="E83" s="73" t="n">
        <f aca="false">MOD(A83-1,10)+1</f>
        <v>10</v>
      </c>
      <c r="F83" s="68" t="s">
        <v>138</v>
      </c>
      <c r="G83" s="73" t="s">
        <v>393</v>
      </c>
      <c r="H83" s="75" t="str">
        <f aca="false">IFERROR(INDEX(Roles!$D$5:$D$26,MATCH(G83,Roles!$A$5:$A$26,0)),"")</f>
        <v>medilens-product-manager</v>
      </c>
      <c r="I83" s="24" t="s">
        <v>728</v>
      </c>
      <c r="J83" s="24" t="s">
        <v>729</v>
      </c>
      <c r="K83" s="24" t="s">
        <v>730</v>
      </c>
      <c r="L83" s="24" t="s">
        <v>651</v>
      </c>
      <c r="M83" s="73"/>
      <c r="N83" s="76" t="n">
        <f aca="false">Settings!$C$5</f>
        <v>4</v>
      </c>
      <c r="O83" s="77"/>
      <c r="P83" s="78" t="s">
        <v>74</v>
      </c>
      <c r="Q83" s="73" t="str">
        <f aca="true">IF(OR(P83="Xong",P83="Bỏ"),"",IF(B83&lt;TODAY(),"Quá hạn",IF(B83=TODAY(),"Hôm nay","")))</f>
        <v/>
      </c>
      <c r="R83" s="79"/>
    </row>
    <row r="84" customFormat="false" ht="27.75" hidden="false" customHeight="true" outlineLevel="0" collapsed="false">
      <c r="A84" s="73" t="n">
        <v>81</v>
      </c>
      <c r="B84" s="74" t="n">
        <f aca="false">WORKDAY(Settings!$C$4-1,A84,Holidays!$A$5:$A$40)</f>
        <v>46435</v>
      </c>
      <c r="C84" s="73" t="s">
        <v>190</v>
      </c>
      <c r="D84" s="73" t="n">
        <f aca="false">INT((A84-1)/5)+1</f>
        <v>17</v>
      </c>
      <c r="E84" s="73" t="n">
        <f aca="false">MOD(A84-1,10)+1</f>
        <v>1</v>
      </c>
      <c r="F84" s="68" t="s">
        <v>138</v>
      </c>
      <c r="G84" s="73" t="s">
        <v>512</v>
      </c>
      <c r="H84" s="75" t="str">
        <f aca="false">IFERROR(INDEX(Roles!$D$5:$D$26,MATCH(G84,Roles!$A$5:$A$26,0)),"")</f>
        <v>medilens-frontend-engineer</v>
      </c>
      <c r="I84" s="24" t="s">
        <v>731</v>
      </c>
      <c r="J84" s="24" t="s">
        <v>732</v>
      </c>
      <c r="K84" s="24" t="s">
        <v>733</v>
      </c>
      <c r="L84" s="24" t="s">
        <v>734</v>
      </c>
      <c r="M84" s="73"/>
      <c r="N84" s="76" t="n">
        <f aca="false">Settings!$C$5</f>
        <v>4</v>
      </c>
      <c r="O84" s="77"/>
      <c r="P84" s="78" t="s">
        <v>74</v>
      </c>
      <c r="Q84" s="73" t="str">
        <f aca="true">IF(OR(P84="Xong",P84="Bỏ"),"",IF(B84&lt;TODAY(),"Quá hạn",IF(B84=TODAY(),"Hôm nay","")))</f>
        <v/>
      </c>
      <c r="R84" s="79"/>
    </row>
    <row r="85" customFormat="false" ht="31.5" hidden="false" customHeight="true" outlineLevel="0" collapsed="false">
      <c r="A85" s="73" t="n">
        <v>82</v>
      </c>
      <c r="B85" s="74" t="n">
        <f aca="false">WORKDAY(Settings!$C$4-1,A85,Holidays!$A$5:$A$40)</f>
        <v>46436</v>
      </c>
      <c r="C85" s="73" t="s">
        <v>190</v>
      </c>
      <c r="D85" s="73" t="n">
        <f aca="false">INT((A85-1)/5)+1</f>
        <v>17</v>
      </c>
      <c r="E85" s="73" t="n">
        <f aca="false">MOD(A85-1,10)+1</f>
        <v>2</v>
      </c>
      <c r="F85" s="68" t="s">
        <v>138</v>
      </c>
      <c r="G85" s="73" t="s">
        <v>695</v>
      </c>
      <c r="H85" s="75" t="str">
        <f aca="false">IFERROR(INDEX(Roles!$D$5:$D$26,MATCH(G85,Roles!$A$5:$A$26,0)),"")</f>
        <v>medilens-3d-medical-artist</v>
      </c>
      <c r="I85" s="24" t="s">
        <v>735</v>
      </c>
      <c r="J85" s="24" t="s">
        <v>736</v>
      </c>
      <c r="K85" s="24" t="s">
        <v>737</v>
      </c>
      <c r="L85" s="24" t="s">
        <v>738</v>
      </c>
      <c r="M85" s="73"/>
      <c r="N85" s="76" t="n">
        <f aca="false">Settings!$C$5</f>
        <v>4</v>
      </c>
      <c r="O85" s="77"/>
      <c r="P85" s="78" t="s">
        <v>74</v>
      </c>
      <c r="Q85" s="73" t="str">
        <f aca="true">IF(OR(P85="Xong",P85="Bỏ"),"",IF(B85&lt;TODAY(),"Quá hạn",IF(B85=TODAY(),"Hôm nay","")))</f>
        <v/>
      </c>
      <c r="R85" s="79"/>
    </row>
    <row r="86" customFormat="false" ht="27.75" hidden="false" customHeight="true" outlineLevel="0" collapsed="false">
      <c r="A86" s="73" t="n">
        <v>83</v>
      </c>
      <c r="B86" s="74" t="n">
        <f aca="false">WORKDAY(Settings!$C$4-1,A86,Holidays!$A$5:$A$40)</f>
        <v>46437</v>
      </c>
      <c r="C86" s="73" t="s">
        <v>190</v>
      </c>
      <c r="D86" s="73" t="n">
        <f aca="false">INT((A86-1)/5)+1</f>
        <v>17</v>
      </c>
      <c r="E86" s="73" t="n">
        <f aca="false">MOD(A86-1,10)+1</f>
        <v>3</v>
      </c>
      <c r="F86" s="68" t="s">
        <v>138</v>
      </c>
      <c r="G86" s="73" t="s">
        <v>512</v>
      </c>
      <c r="H86" s="75" t="str">
        <f aca="false">IFERROR(INDEX(Roles!$D$5:$D$26,MATCH(G86,Roles!$A$5:$A$26,0)),"")</f>
        <v>medilens-frontend-engineer</v>
      </c>
      <c r="I86" s="24" t="s">
        <v>739</v>
      </c>
      <c r="J86" s="24" t="s">
        <v>740</v>
      </c>
      <c r="K86" s="24" t="s">
        <v>741</v>
      </c>
      <c r="L86" s="24" t="s">
        <v>742</v>
      </c>
      <c r="M86" s="73"/>
      <c r="N86" s="76" t="n">
        <f aca="false">Settings!$C$5</f>
        <v>4</v>
      </c>
      <c r="O86" s="77"/>
      <c r="P86" s="78" t="s">
        <v>74</v>
      </c>
      <c r="Q86" s="73" t="str">
        <f aca="true">IF(OR(P86="Xong",P86="Bỏ"),"",IF(B86&lt;TODAY(),"Quá hạn",IF(B86=TODAY(),"Hôm nay","")))</f>
        <v/>
      </c>
      <c r="R86" s="79"/>
    </row>
    <row r="87" customFormat="false" ht="31.5" hidden="false" customHeight="true" outlineLevel="0" collapsed="false">
      <c r="A87" s="73" t="n">
        <v>84</v>
      </c>
      <c r="B87" s="74" t="n">
        <f aca="false">WORKDAY(Settings!$C$4-1,A87,Holidays!$A$5:$A$40)</f>
        <v>46440</v>
      </c>
      <c r="C87" s="73" t="s">
        <v>190</v>
      </c>
      <c r="D87" s="73" t="n">
        <f aca="false">INT((A87-1)/5)+1</f>
        <v>17</v>
      </c>
      <c r="E87" s="73" t="n">
        <f aca="false">MOD(A87-1,10)+1</f>
        <v>4</v>
      </c>
      <c r="F87" s="68" t="s">
        <v>138</v>
      </c>
      <c r="G87" s="73" t="s">
        <v>512</v>
      </c>
      <c r="H87" s="75" t="str">
        <f aca="false">IFERROR(INDEX(Roles!$D$5:$D$26,MATCH(G87,Roles!$A$5:$A$26,0)),"")</f>
        <v>medilens-frontend-engineer</v>
      </c>
      <c r="I87" s="24" t="s">
        <v>743</v>
      </c>
      <c r="J87" s="24" t="s">
        <v>744</v>
      </c>
      <c r="K87" s="24" t="s">
        <v>745</v>
      </c>
      <c r="L87" s="24" t="s">
        <v>746</v>
      </c>
      <c r="M87" s="73"/>
      <c r="N87" s="76" t="n">
        <f aca="false">Settings!$C$5</f>
        <v>4</v>
      </c>
      <c r="O87" s="77"/>
      <c r="P87" s="78" t="s">
        <v>74</v>
      </c>
      <c r="Q87" s="73" t="str">
        <f aca="true">IF(OR(P87="Xong",P87="Bỏ"),"",IF(B87&lt;TODAY(),"Quá hạn",IF(B87=TODAY(),"Hôm nay","")))</f>
        <v/>
      </c>
      <c r="R87" s="79"/>
    </row>
    <row r="88" customFormat="false" ht="27.75" hidden="false" customHeight="true" outlineLevel="0" collapsed="false">
      <c r="A88" s="73" t="n">
        <v>85</v>
      </c>
      <c r="B88" s="74" t="n">
        <f aca="false">WORKDAY(Settings!$C$4-1,A88,Holidays!$A$5:$A$40)</f>
        <v>46441</v>
      </c>
      <c r="C88" s="73" t="s">
        <v>190</v>
      </c>
      <c r="D88" s="73" t="n">
        <f aca="false">INT((A88-1)/5)+1</f>
        <v>17</v>
      </c>
      <c r="E88" s="73" t="n">
        <f aca="false">MOD(A88-1,10)+1</f>
        <v>5</v>
      </c>
      <c r="F88" s="68" t="s">
        <v>138</v>
      </c>
      <c r="G88" s="73" t="s">
        <v>503</v>
      </c>
      <c r="H88" s="75" t="str">
        <f aca="false">IFERROR(INDEX(Roles!$D$5:$D$26,MATCH(G88,Roles!$A$5:$A$26,0)),"")</f>
        <v>medilens-backend-engineer</v>
      </c>
      <c r="I88" s="24" t="s">
        <v>747</v>
      </c>
      <c r="J88" s="24" t="s">
        <v>748</v>
      </c>
      <c r="K88" s="24" t="s">
        <v>749</v>
      </c>
      <c r="L88" s="24" t="s">
        <v>750</v>
      </c>
      <c r="M88" s="73"/>
      <c r="N88" s="76" t="n">
        <f aca="false">Settings!$C$5</f>
        <v>4</v>
      </c>
      <c r="O88" s="77"/>
      <c r="P88" s="78" t="s">
        <v>74</v>
      </c>
      <c r="Q88" s="73" t="str">
        <f aca="true">IF(OR(P88="Xong",P88="Bỏ"),"",IF(B88&lt;TODAY(),"Quá hạn",IF(B88=TODAY(),"Hôm nay","")))</f>
        <v/>
      </c>
      <c r="R88" s="79"/>
    </row>
    <row r="89" customFormat="false" ht="31.5" hidden="false" customHeight="true" outlineLevel="0" collapsed="false">
      <c r="A89" s="73" t="n">
        <v>86</v>
      </c>
      <c r="B89" s="74" t="n">
        <f aca="false">WORKDAY(Settings!$C$4-1,A89,Holidays!$A$5:$A$40)</f>
        <v>46442</v>
      </c>
      <c r="C89" s="73" t="s">
        <v>190</v>
      </c>
      <c r="D89" s="73" t="n">
        <f aca="false">INT((A89-1)/5)+1</f>
        <v>18</v>
      </c>
      <c r="E89" s="73" t="n">
        <f aca="false">MOD(A89-1,10)+1</f>
        <v>6</v>
      </c>
      <c r="F89" s="68" t="s">
        <v>138</v>
      </c>
      <c r="G89" s="73" t="s">
        <v>454</v>
      </c>
      <c r="H89" s="75" t="str">
        <f aca="false">IFERROR(INDEX(Roles!$D$5:$D$26,MATCH(G89,Roles!$A$5:$A$26,0)),"")</f>
        <v>medilens-ai-ml-engineer</v>
      </c>
      <c r="I89" s="24" t="s">
        <v>751</v>
      </c>
      <c r="J89" s="24" t="s">
        <v>752</v>
      </c>
      <c r="K89" s="24" t="s">
        <v>753</v>
      </c>
      <c r="L89" s="24" t="s">
        <v>754</v>
      </c>
      <c r="M89" s="73"/>
      <c r="N89" s="76" t="n">
        <f aca="false">Settings!$C$5</f>
        <v>4</v>
      </c>
      <c r="O89" s="77"/>
      <c r="P89" s="78" t="s">
        <v>74</v>
      </c>
      <c r="Q89" s="73" t="str">
        <f aca="true">IF(OR(P89="Xong",P89="Bỏ"),"",IF(B89&lt;TODAY(),"Quá hạn",IF(B89=TODAY(),"Hôm nay","")))</f>
        <v/>
      </c>
      <c r="R89" s="79"/>
    </row>
    <row r="90" customFormat="false" ht="31.5" hidden="false" customHeight="true" outlineLevel="0" collapsed="false">
      <c r="A90" s="73" t="n">
        <v>87</v>
      </c>
      <c r="B90" s="74" t="n">
        <f aca="false">WORKDAY(Settings!$C$4-1,A90,Holidays!$A$5:$A$40)</f>
        <v>46443</v>
      </c>
      <c r="C90" s="73" t="s">
        <v>190</v>
      </c>
      <c r="D90" s="73" t="n">
        <f aca="false">INT((A90-1)/5)+1</f>
        <v>18</v>
      </c>
      <c r="E90" s="73" t="n">
        <f aca="false">MOD(A90-1,10)+1</f>
        <v>7</v>
      </c>
      <c r="F90" s="68" t="s">
        <v>138</v>
      </c>
      <c r="G90" s="73" t="s">
        <v>420</v>
      </c>
      <c r="H90" s="75" t="str">
        <f aca="false">IFERROR(INDEX(Roles!$D$5:$D$26,MATCH(G90,Roles!$A$5:$A$26,0)),"")</f>
        <v>medilens-ux-ui-designer</v>
      </c>
      <c r="I90" s="24" t="s">
        <v>755</v>
      </c>
      <c r="J90" s="24" t="s">
        <v>756</v>
      </c>
      <c r="K90" s="24" t="s">
        <v>757</v>
      </c>
      <c r="L90" s="24" t="s">
        <v>758</v>
      </c>
      <c r="M90" s="73"/>
      <c r="N90" s="76" t="n">
        <f aca="false">Settings!$C$5</f>
        <v>4</v>
      </c>
      <c r="O90" s="77"/>
      <c r="P90" s="78" t="s">
        <v>74</v>
      </c>
      <c r="Q90" s="73" t="str">
        <f aca="true">IF(OR(P90="Xong",P90="Bỏ"),"",IF(B90&lt;TODAY(),"Quá hạn",IF(B90=TODAY(),"Hôm nay","")))</f>
        <v/>
      </c>
      <c r="R90" s="79"/>
    </row>
    <row r="91" customFormat="false" ht="27.75" hidden="false" customHeight="true" outlineLevel="0" collapsed="false">
      <c r="A91" s="73" t="n">
        <v>88</v>
      </c>
      <c r="B91" s="74" t="n">
        <f aca="false">WORKDAY(Settings!$C$4-1,A91,Holidays!$A$5:$A$40)</f>
        <v>46444</v>
      </c>
      <c r="C91" s="73" t="s">
        <v>190</v>
      </c>
      <c r="D91" s="73" t="n">
        <f aca="false">INT((A91-1)/5)+1</f>
        <v>18</v>
      </c>
      <c r="E91" s="73" t="n">
        <f aca="false">MOD(A91-1,10)+1</f>
        <v>8</v>
      </c>
      <c r="F91" s="68" t="s">
        <v>138</v>
      </c>
      <c r="G91" s="73" t="s">
        <v>563</v>
      </c>
      <c r="H91" s="75" t="str">
        <f aca="false">IFERROR(INDEX(Roles!$D$5:$D$26,MATCH(G91,Roles!$A$5:$A$26,0)),"")</f>
        <v>medilens-qa-engineer</v>
      </c>
      <c r="I91" s="24" t="s">
        <v>759</v>
      </c>
      <c r="J91" s="24" t="s">
        <v>760</v>
      </c>
      <c r="K91" s="24" t="s">
        <v>761</v>
      </c>
      <c r="L91" s="24" t="s">
        <v>762</v>
      </c>
      <c r="M91" s="73"/>
      <c r="N91" s="76" t="n">
        <f aca="false">Settings!$C$5</f>
        <v>4</v>
      </c>
      <c r="O91" s="77"/>
      <c r="P91" s="78" t="s">
        <v>74</v>
      </c>
      <c r="Q91" s="73" t="str">
        <f aca="true">IF(OR(P91="Xong",P91="Bỏ"),"",IF(B91&lt;TODAY(),"Quá hạn",IF(B91=TODAY(),"Hôm nay","")))</f>
        <v/>
      </c>
      <c r="R91" s="79"/>
    </row>
    <row r="92" customFormat="false" ht="27.75" hidden="false" customHeight="true" outlineLevel="0" collapsed="false">
      <c r="A92" s="73" t="n">
        <v>89</v>
      </c>
      <c r="B92" s="74" t="n">
        <f aca="false">WORKDAY(Settings!$C$4-1,A92,Holidays!$A$5:$A$40)</f>
        <v>46447</v>
      </c>
      <c r="C92" s="73" t="s">
        <v>190</v>
      </c>
      <c r="D92" s="73" t="n">
        <f aca="false">INT((A92-1)/5)+1</f>
        <v>18</v>
      </c>
      <c r="E92" s="73" t="n">
        <f aca="false">MOD(A92-1,10)+1</f>
        <v>9</v>
      </c>
      <c r="F92" s="68" t="s">
        <v>138</v>
      </c>
      <c r="G92" s="73" t="s">
        <v>517</v>
      </c>
      <c r="H92" s="75" t="str">
        <f aca="false">IFERROR(INDEX(Roles!$D$5:$D$26,MATCH(G92,Roles!$A$5:$A$26,0)),"")</f>
        <v>medilens-security-engineer</v>
      </c>
      <c r="I92" s="24" t="s">
        <v>763</v>
      </c>
      <c r="J92" s="24" t="s">
        <v>764</v>
      </c>
      <c r="K92" s="24" t="s">
        <v>765</v>
      </c>
      <c r="L92" s="24" t="s">
        <v>766</v>
      </c>
      <c r="M92" s="73"/>
      <c r="N92" s="76" t="n">
        <f aca="false">Settings!$C$5</f>
        <v>4</v>
      </c>
      <c r="O92" s="77"/>
      <c r="P92" s="78" t="s">
        <v>74</v>
      </c>
      <c r="Q92" s="73" t="str">
        <f aca="true">IF(OR(P92="Xong",P92="Bỏ"),"",IF(B92&lt;TODAY(),"Quá hạn",IF(B92=TODAY(),"Hôm nay","")))</f>
        <v/>
      </c>
      <c r="R92" s="79"/>
    </row>
    <row r="93" customFormat="false" ht="27.75" hidden="false" customHeight="true" outlineLevel="0" collapsed="false">
      <c r="A93" s="73" t="n">
        <v>90</v>
      </c>
      <c r="B93" s="74" t="n">
        <f aca="false">WORKDAY(Settings!$C$4-1,A93,Holidays!$A$5:$A$40)</f>
        <v>46448</v>
      </c>
      <c r="C93" s="73" t="s">
        <v>190</v>
      </c>
      <c r="D93" s="73" t="n">
        <f aca="false">INT((A93-1)/5)+1</f>
        <v>18</v>
      </c>
      <c r="E93" s="73" t="n">
        <f aca="false">MOD(A93-1,10)+1</f>
        <v>10</v>
      </c>
      <c r="F93" s="68" t="s">
        <v>138</v>
      </c>
      <c r="G93" s="73" t="s">
        <v>393</v>
      </c>
      <c r="H93" s="75" t="str">
        <f aca="false">IFERROR(INDEX(Roles!$D$5:$D$26,MATCH(G93,Roles!$A$5:$A$26,0)),"")</f>
        <v>medilens-product-manager</v>
      </c>
      <c r="I93" s="24" t="s">
        <v>767</v>
      </c>
      <c r="J93" s="24" t="s">
        <v>768</v>
      </c>
      <c r="K93" s="24" t="s">
        <v>769</v>
      </c>
      <c r="L93" s="24" t="s">
        <v>651</v>
      </c>
      <c r="M93" s="73"/>
      <c r="N93" s="76" t="n">
        <f aca="false">Settings!$C$5</f>
        <v>4</v>
      </c>
      <c r="O93" s="77"/>
      <c r="P93" s="78" t="s">
        <v>74</v>
      </c>
      <c r="Q93" s="73" t="str">
        <f aca="true">IF(OR(P93="Xong",P93="Bỏ"),"",IF(B93&lt;TODAY(),"Quá hạn",IF(B93=TODAY(),"Hôm nay","")))</f>
        <v/>
      </c>
      <c r="R93" s="79"/>
    </row>
    <row r="94" customFormat="false" ht="31.5" hidden="false" customHeight="true" outlineLevel="0" collapsed="false">
      <c r="A94" s="73" t="n">
        <v>91</v>
      </c>
      <c r="B94" s="74" t="n">
        <f aca="false">WORKDAY(Settings!$C$4-1,A94,Holidays!$A$5:$A$40)</f>
        <v>46449</v>
      </c>
      <c r="C94" s="73" t="s">
        <v>191</v>
      </c>
      <c r="D94" s="73" t="n">
        <f aca="false">INT((A94-1)/5)+1</f>
        <v>19</v>
      </c>
      <c r="E94" s="73" t="n">
        <f aca="false">MOD(A94-1,10)+1</f>
        <v>1</v>
      </c>
      <c r="F94" s="68" t="s">
        <v>138</v>
      </c>
      <c r="G94" s="73" t="s">
        <v>411</v>
      </c>
      <c r="H94" s="75" t="str">
        <f aca="false">IFERROR(INDEX(Roles!$D$5:$D$26,MATCH(G94,Roles!$A$5:$A$26,0)),"")</f>
        <v>medilens-business-analyst</v>
      </c>
      <c r="I94" s="24" t="s">
        <v>770</v>
      </c>
      <c r="J94" s="24" t="s">
        <v>771</v>
      </c>
      <c r="K94" s="24" t="s">
        <v>772</v>
      </c>
      <c r="L94" s="24" t="s">
        <v>773</v>
      </c>
      <c r="M94" s="73"/>
      <c r="N94" s="76" t="n">
        <f aca="false">Settings!$C$5</f>
        <v>4</v>
      </c>
      <c r="O94" s="77"/>
      <c r="P94" s="78" t="s">
        <v>74</v>
      </c>
      <c r="Q94" s="73" t="str">
        <f aca="true">IF(OR(P94="Xong",P94="Bỏ"),"",IF(B94&lt;TODAY(),"Quá hạn",IF(B94=TODAY(),"Hôm nay","")))</f>
        <v/>
      </c>
      <c r="R94" s="79"/>
    </row>
    <row r="95" customFormat="false" ht="31.5" hidden="false" customHeight="true" outlineLevel="0" collapsed="false">
      <c r="A95" s="73" t="n">
        <v>92</v>
      </c>
      <c r="B95" s="74" t="n">
        <f aca="false">WORKDAY(Settings!$C$4-1,A95,Holidays!$A$5:$A$40)</f>
        <v>46450</v>
      </c>
      <c r="C95" s="73" t="s">
        <v>191</v>
      </c>
      <c r="D95" s="73" t="n">
        <f aca="false">INT((A95-1)/5)+1</f>
        <v>19</v>
      </c>
      <c r="E95" s="73" t="n">
        <f aca="false">MOD(A95-1,10)+1</f>
        <v>2</v>
      </c>
      <c r="F95" s="68" t="s">
        <v>138</v>
      </c>
      <c r="G95" s="73" t="s">
        <v>454</v>
      </c>
      <c r="H95" s="75" t="str">
        <f aca="false">IFERROR(INDEX(Roles!$D$5:$D$26,MATCH(G95,Roles!$A$5:$A$26,0)),"")</f>
        <v>medilens-ai-ml-engineer</v>
      </c>
      <c r="I95" s="24" t="s">
        <v>774</v>
      </c>
      <c r="J95" s="24" t="s">
        <v>775</v>
      </c>
      <c r="K95" s="24" t="s">
        <v>776</v>
      </c>
      <c r="L95" s="24" t="s">
        <v>777</v>
      </c>
      <c r="M95" s="73"/>
      <c r="N95" s="76" t="n">
        <f aca="false">Settings!$C$5</f>
        <v>4</v>
      </c>
      <c r="O95" s="77"/>
      <c r="P95" s="78" t="s">
        <v>74</v>
      </c>
      <c r="Q95" s="73" t="str">
        <f aca="true">IF(OR(P95="Xong",P95="Bỏ"),"",IF(B95&lt;TODAY(),"Quá hạn",IF(B95=TODAY(),"Hôm nay","")))</f>
        <v/>
      </c>
      <c r="R95" s="79"/>
    </row>
    <row r="96" customFormat="false" ht="31.5" hidden="false" customHeight="true" outlineLevel="0" collapsed="false">
      <c r="A96" s="73" t="n">
        <v>93</v>
      </c>
      <c r="B96" s="74" t="n">
        <f aca="false">WORKDAY(Settings!$C$4-1,A96,Holidays!$A$5:$A$40)</f>
        <v>46451</v>
      </c>
      <c r="C96" s="73" t="s">
        <v>191</v>
      </c>
      <c r="D96" s="73" t="n">
        <f aca="false">INT((A96-1)/5)+1</f>
        <v>19</v>
      </c>
      <c r="E96" s="73" t="n">
        <f aca="false">MOD(A96-1,10)+1</f>
        <v>3</v>
      </c>
      <c r="F96" s="68" t="s">
        <v>138</v>
      </c>
      <c r="G96" s="73" t="s">
        <v>512</v>
      </c>
      <c r="H96" s="75" t="str">
        <f aca="false">IFERROR(INDEX(Roles!$D$5:$D$26,MATCH(G96,Roles!$A$5:$A$26,0)),"")</f>
        <v>medilens-frontend-engineer</v>
      </c>
      <c r="I96" s="24" t="s">
        <v>778</v>
      </c>
      <c r="J96" s="24" t="s">
        <v>779</v>
      </c>
      <c r="K96" s="24" t="s">
        <v>780</v>
      </c>
      <c r="L96" s="24" t="s">
        <v>781</v>
      </c>
      <c r="M96" s="73"/>
      <c r="N96" s="76" t="n">
        <f aca="false">Settings!$C$5</f>
        <v>4</v>
      </c>
      <c r="O96" s="77"/>
      <c r="P96" s="78" t="s">
        <v>74</v>
      </c>
      <c r="Q96" s="73" t="str">
        <f aca="true">IF(OR(P96="Xong",P96="Bỏ"),"",IF(B96&lt;TODAY(),"Quá hạn",IF(B96=TODAY(),"Hôm nay","")))</f>
        <v/>
      </c>
      <c r="R96" s="79"/>
    </row>
    <row r="97" customFormat="false" ht="31.5" hidden="false" customHeight="true" outlineLevel="0" collapsed="false">
      <c r="A97" s="73" t="n">
        <v>94</v>
      </c>
      <c r="B97" s="74" t="n">
        <f aca="false">WORKDAY(Settings!$C$4-1,A97,Holidays!$A$5:$A$40)</f>
        <v>46454</v>
      </c>
      <c r="C97" s="73" t="s">
        <v>191</v>
      </c>
      <c r="D97" s="73" t="n">
        <f aca="false">INT((A97-1)/5)+1</f>
        <v>19</v>
      </c>
      <c r="E97" s="73" t="n">
        <f aca="false">MOD(A97-1,10)+1</f>
        <v>4</v>
      </c>
      <c r="F97" s="68" t="s">
        <v>138</v>
      </c>
      <c r="G97" s="73" t="s">
        <v>643</v>
      </c>
      <c r="H97" s="75" t="str">
        <f aca="false">IFERROR(INDEX(Roles!$D$5:$D$26,MATCH(G97,Roles!$A$5:$A$26,0)),"")</f>
        <v>medilens-technical-writer</v>
      </c>
      <c r="I97" s="24" t="s">
        <v>782</v>
      </c>
      <c r="J97" s="24" t="s">
        <v>783</v>
      </c>
      <c r="K97" s="24" t="s">
        <v>784</v>
      </c>
      <c r="L97" s="24" t="s">
        <v>785</v>
      </c>
      <c r="M97" s="73"/>
      <c r="N97" s="76" t="n">
        <f aca="false">Settings!$C$5</f>
        <v>4</v>
      </c>
      <c r="O97" s="77"/>
      <c r="P97" s="78" t="s">
        <v>74</v>
      </c>
      <c r="Q97" s="73" t="str">
        <f aca="true">IF(OR(P97="Xong",P97="Bỏ"),"",IF(B97&lt;TODAY(),"Quá hạn",IF(B97=TODAY(),"Hôm nay","")))</f>
        <v/>
      </c>
      <c r="R97" s="79"/>
    </row>
    <row r="98" customFormat="false" ht="31.5" hidden="false" customHeight="true" outlineLevel="0" collapsed="false">
      <c r="A98" s="73" t="n">
        <v>95</v>
      </c>
      <c r="B98" s="74" t="n">
        <f aca="false">WORKDAY(Settings!$C$4-1,A98,Holidays!$A$5:$A$40)</f>
        <v>46455</v>
      </c>
      <c r="C98" s="73" t="s">
        <v>191</v>
      </c>
      <c r="D98" s="73" t="n">
        <f aca="false">INT((A98-1)/5)+1</f>
        <v>19</v>
      </c>
      <c r="E98" s="73" t="n">
        <f aca="false">MOD(A98-1,10)+1</f>
        <v>5</v>
      </c>
      <c r="F98" s="68" t="s">
        <v>138</v>
      </c>
      <c r="G98" s="73" t="s">
        <v>454</v>
      </c>
      <c r="H98" s="75" t="str">
        <f aca="false">IFERROR(INDEX(Roles!$D$5:$D$26,MATCH(G98,Roles!$A$5:$A$26,0)),"")</f>
        <v>medilens-ai-ml-engineer</v>
      </c>
      <c r="I98" s="24" t="s">
        <v>786</v>
      </c>
      <c r="J98" s="24" t="s">
        <v>787</v>
      </c>
      <c r="K98" s="24" t="s">
        <v>788</v>
      </c>
      <c r="L98" s="24" t="s">
        <v>789</v>
      </c>
      <c r="M98" s="73"/>
      <c r="N98" s="76" t="n">
        <f aca="false">Settings!$C$5</f>
        <v>4</v>
      </c>
      <c r="O98" s="77"/>
      <c r="P98" s="78" t="s">
        <v>74</v>
      </c>
      <c r="Q98" s="73" t="str">
        <f aca="true">IF(OR(P98="Xong",P98="Bỏ"),"",IF(B98&lt;TODAY(),"Quá hạn",IF(B98=TODAY(),"Hôm nay","")))</f>
        <v/>
      </c>
      <c r="R98" s="79"/>
    </row>
    <row r="99" customFormat="false" ht="31.5" hidden="false" customHeight="true" outlineLevel="0" collapsed="false">
      <c r="A99" s="73" t="n">
        <v>96</v>
      </c>
      <c r="B99" s="74" t="n">
        <f aca="false">WORKDAY(Settings!$C$4-1,A99,Holidays!$A$5:$A$40)</f>
        <v>46456</v>
      </c>
      <c r="C99" s="73" t="s">
        <v>191</v>
      </c>
      <c r="D99" s="73" t="n">
        <f aca="false">INT((A99-1)/5)+1</f>
        <v>20</v>
      </c>
      <c r="E99" s="73" t="n">
        <f aca="false">MOD(A99-1,10)+1</f>
        <v>6</v>
      </c>
      <c r="F99" s="68" t="s">
        <v>138</v>
      </c>
      <c r="G99" s="73" t="s">
        <v>454</v>
      </c>
      <c r="H99" s="75" t="str">
        <f aca="false">IFERROR(INDEX(Roles!$D$5:$D$26,MATCH(G99,Roles!$A$5:$A$26,0)),"")</f>
        <v>medilens-ai-ml-engineer</v>
      </c>
      <c r="I99" s="24" t="s">
        <v>790</v>
      </c>
      <c r="J99" s="24" t="s">
        <v>791</v>
      </c>
      <c r="K99" s="24" t="s">
        <v>792</v>
      </c>
      <c r="L99" s="24" t="s">
        <v>793</v>
      </c>
      <c r="M99" s="73"/>
      <c r="N99" s="76" t="n">
        <f aca="false">Settings!$C$5</f>
        <v>4</v>
      </c>
      <c r="O99" s="77"/>
      <c r="P99" s="78" t="s">
        <v>74</v>
      </c>
      <c r="Q99" s="73" t="str">
        <f aca="true">IF(OR(P99="Xong",P99="Bỏ"),"",IF(B99&lt;TODAY(),"Quá hạn",IF(B99=TODAY(),"Hôm nay","")))</f>
        <v/>
      </c>
      <c r="R99" s="79"/>
    </row>
    <row r="100" customFormat="false" ht="31.5" hidden="false" customHeight="true" outlineLevel="0" collapsed="false">
      <c r="A100" s="73" t="n">
        <v>97</v>
      </c>
      <c r="B100" s="74" t="n">
        <f aca="false">WORKDAY(Settings!$C$4-1,A100,Holidays!$A$5:$A$40)</f>
        <v>46457</v>
      </c>
      <c r="C100" s="73" t="s">
        <v>191</v>
      </c>
      <c r="D100" s="73" t="n">
        <f aca="false">INT((A100-1)/5)+1</f>
        <v>20</v>
      </c>
      <c r="E100" s="73" t="n">
        <f aca="false">MOD(A100-1,10)+1</f>
        <v>7</v>
      </c>
      <c r="F100" s="68" t="s">
        <v>138</v>
      </c>
      <c r="G100" s="73" t="s">
        <v>579</v>
      </c>
      <c r="H100" s="75" t="str">
        <f aca="false">IFERROR(INDEX(Roles!$D$5:$D$26,MATCH(G100,Roles!$A$5:$A$26,0)),"")</f>
        <v>medilens-mlops-engineer</v>
      </c>
      <c r="I100" s="24" t="s">
        <v>794</v>
      </c>
      <c r="J100" s="24" t="s">
        <v>795</v>
      </c>
      <c r="K100" s="24" t="s">
        <v>796</v>
      </c>
      <c r="L100" s="24" t="s">
        <v>797</v>
      </c>
      <c r="M100" s="73"/>
      <c r="N100" s="76" t="n">
        <f aca="false">Settings!$C$5</f>
        <v>4</v>
      </c>
      <c r="O100" s="77"/>
      <c r="P100" s="78" t="s">
        <v>74</v>
      </c>
      <c r="Q100" s="73" t="str">
        <f aca="true">IF(OR(P100="Xong",P100="Bỏ"),"",IF(B100&lt;TODAY(),"Quá hạn",IF(B100=TODAY(),"Hôm nay","")))</f>
        <v/>
      </c>
      <c r="R100" s="79"/>
    </row>
    <row r="101" customFormat="false" ht="31.5" hidden="false" customHeight="true" outlineLevel="0" collapsed="false">
      <c r="A101" s="73" t="n">
        <v>98</v>
      </c>
      <c r="B101" s="74" t="n">
        <f aca="false">WORKDAY(Settings!$C$4-1,A101,Holidays!$A$5:$A$40)</f>
        <v>46458</v>
      </c>
      <c r="C101" s="73" t="s">
        <v>191</v>
      </c>
      <c r="D101" s="73" t="n">
        <f aca="false">INT((A101-1)/5)+1</f>
        <v>20</v>
      </c>
      <c r="E101" s="73" t="n">
        <f aca="false">MOD(A101-1,10)+1</f>
        <v>8</v>
      </c>
      <c r="F101" s="68" t="s">
        <v>138</v>
      </c>
      <c r="G101" s="73" t="s">
        <v>563</v>
      </c>
      <c r="H101" s="75" t="str">
        <f aca="false">IFERROR(INDEX(Roles!$D$5:$D$26,MATCH(G101,Roles!$A$5:$A$26,0)),"")</f>
        <v>medilens-qa-engineer</v>
      </c>
      <c r="I101" s="24" t="s">
        <v>798</v>
      </c>
      <c r="J101" s="24" t="s">
        <v>799</v>
      </c>
      <c r="K101" s="24" t="s">
        <v>800</v>
      </c>
      <c r="L101" s="24" t="s">
        <v>801</v>
      </c>
      <c r="M101" s="73"/>
      <c r="N101" s="76" t="n">
        <f aca="false">Settings!$C$5</f>
        <v>4</v>
      </c>
      <c r="O101" s="77"/>
      <c r="P101" s="78" t="s">
        <v>74</v>
      </c>
      <c r="Q101" s="73" t="str">
        <f aca="true">IF(OR(P101="Xong",P101="Bỏ"),"",IF(B101&lt;TODAY(),"Quá hạn",IF(B101=TODAY(),"Hôm nay","")))</f>
        <v/>
      </c>
      <c r="R101" s="79"/>
    </row>
    <row r="102" customFormat="false" ht="31.5" hidden="false" customHeight="true" outlineLevel="0" collapsed="false">
      <c r="A102" s="73" t="n">
        <v>99</v>
      </c>
      <c r="B102" s="74" t="n">
        <f aca="false">WORKDAY(Settings!$C$4-1,A102,Holidays!$A$5:$A$40)</f>
        <v>46461</v>
      </c>
      <c r="C102" s="73" t="s">
        <v>191</v>
      </c>
      <c r="D102" s="73" t="n">
        <f aca="false">INT((A102-1)/5)+1</f>
        <v>20</v>
      </c>
      <c r="E102" s="73" t="n">
        <f aca="false">MOD(A102-1,10)+1</f>
        <v>9</v>
      </c>
      <c r="F102" s="68" t="s">
        <v>138</v>
      </c>
      <c r="G102" s="73" t="s">
        <v>429</v>
      </c>
      <c r="H102" s="75" t="str">
        <f aca="false">IFERROR(INDEX(Roles!$D$5:$D$26,MATCH(G102,Roles!$A$5:$A$26,0)),"")</f>
        <v>medilens-clinical-safety-officer</v>
      </c>
      <c r="I102" s="24" t="s">
        <v>802</v>
      </c>
      <c r="J102" s="24" t="s">
        <v>803</v>
      </c>
      <c r="K102" s="24" t="s">
        <v>726</v>
      </c>
      <c r="L102" s="24" t="s">
        <v>804</v>
      </c>
      <c r="M102" s="73"/>
      <c r="N102" s="76" t="n">
        <f aca="false">Settings!$C$5</f>
        <v>4</v>
      </c>
      <c r="O102" s="77"/>
      <c r="P102" s="78" t="s">
        <v>74</v>
      </c>
      <c r="Q102" s="73" t="str">
        <f aca="true">IF(OR(P102="Xong",P102="Bỏ"),"",IF(B102&lt;TODAY(),"Quá hạn",IF(B102=TODAY(),"Hôm nay","")))</f>
        <v/>
      </c>
      <c r="R102" s="79"/>
    </row>
    <row r="103" customFormat="false" ht="27.75" hidden="false" customHeight="true" outlineLevel="0" collapsed="false">
      <c r="A103" s="73" t="n">
        <v>100</v>
      </c>
      <c r="B103" s="74" t="n">
        <f aca="false">WORKDAY(Settings!$C$4-1,A103,Holidays!$A$5:$A$40)</f>
        <v>46462</v>
      </c>
      <c r="C103" s="73" t="s">
        <v>191</v>
      </c>
      <c r="D103" s="73" t="n">
        <f aca="false">INT((A103-1)/5)+1</f>
        <v>20</v>
      </c>
      <c r="E103" s="73" t="n">
        <f aca="false">MOD(A103-1,10)+1</f>
        <v>10</v>
      </c>
      <c r="F103" s="68" t="s">
        <v>138</v>
      </c>
      <c r="G103" s="73" t="s">
        <v>393</v>
      </c>
      <c r="H103" s="75" t="str">
        <f aca="false">IFERROR(INDEX(Roles!$D$5:$D$26,MATCH(G103,Roles!$A$5:$A$26,0)),"")</f>
        <v>medilens-product-manager</v>
      </c>
      <c r="I103" s="24" t="s">
        <v>805</v>
      </c>
      <c r="J103" s="24" t="s">
        <v>806</v>
      </c>
      <c r="K103" s="24" t="s">
        <v>807</v>
      </c>
      <c r="L103" s="24" t="s">
        <v>651</v>
      </c>
      <c r="M103" s="73"/>
      <c r="N103" s="76" t="n">
        <f aca="false">Settings!$C$5</f>
        <v>4</v>
      </c>
      <c r="O103" s="77"/>
      <c r="P103" s="78" t="s">
        <v>74</v>
      </c>
      <c r="Q103" s="73" t="str">
        <f aca="true">IF(OR(P103="Xong",P103="Bỏ"),"",IF(B103&lt;TODAY(),"Quá hạn",IF(B103=TODAY(),"Hôm nay","")))</f>
        <v/>
      </c>
      <c r="R103" s="79"/>
    </row>
    <row r="104" customFormat="false" ht="27.75" hidden="false" customHeight="true" outlineLevel="0" collapsed="false">
      <c r="A104" s="73" t="n">
        <v>101</v>
      </c>
      <c r="B104" s="74" t="n">
        <f aca="false">WORKDAY(Settings!$C$4-1,A104,Holidays!$A$5:$A$40)</f>
        <v>46463</v>
      </c>
      <c r="C104" s="73" t="s">
        <v>141</v>
      </c>
      <c r="D104" s="73" t="n">
        <f aca="false">INT((A104-1)/5)+1</f>
        <v>21</v>
      </c>
      <c r="E104" s="73" t="n">
        <f aca="false">MOD(A104-1,10)+1</f>
        <v>1</v>
      </c>
      <c r="F104" s="68" t="s">
        <v>138</v>
      </c>
      <c r="G104" s="73" t="s">
        <v>512</v>
      </c>
      <c r="H104" s="75" t="str">
        <f aca="false">IFERROR(INDEX(Roles!$D$5:$D$26,MATCH(G104,Roles!$A$5:$A$26,0)),"")</f>
        <v>medilens-frontend-engineer</v>
      </c>
      <c r="I104" s="24" t="s">
        <v>808</v>
      </c>
      <c r="J104" s="24" t="s">
        <v>809</v>
      </c>
      <c r="K104" s="24" t="s">
        <v>810</v>
      </c>
      <c r="L104" s="24" t="s">
        <v>811</v>
      </c>
      <c r="M104" s="73"/>
      <c r="N104" s="76" t="n">
        <f aca="false">Settings!$C$5</f>
        <v>4</v>
      </c>
      <c r="O104" s="77"/>
      <c r="P104" s="78" t="s">
        <v>74</v>
      </c>
      <c r="Q104" s="73" t="str">
        <f aca="true">IF(OR(P104="Xong",P104="Bỏ"),"",IF(B104&lt;TODAY(),"Quá hạn",IF(B104=TODAY(),"Hôm nay","")))</f>
        <v/>
      </c>
      <c r="R104" s="79"/>
    </row>
    <row r="105" customFormat="false" ht="31.5" hidden="false" customHeight="true" outlineLevel="0" collapsed="false">
      <c r="A105" s="73" t="n">
        <v>102</v>
      </c>
      <c r="B105" s="74" t="n">
        <f aca="false">WORKDAY(Settings!$C$4-1,A105,Holidays!$A$5:$A$40)</f>
        <v>46464</v>
      </c>
      <c r="C105" s="73" t="s">
        <v>141</v>
      </c>
      <c r="D105" s="73" t="n">
        <f aca="false">INT((A105-1)/5)+1</f>
        <v>21</v>
      </c>
      <c r="E105" s="73" t="n">
        <f aca="false">MOD(A105-1,10)+1</f>
        <v>2</v>
      </c>
      <c r="F105" s="68" t="s">
        <v>138</v>
      </c>
      <c r="G105" s="73" t="s">
        <v>503</v>
      </c>
      <c r="H105" s="75" t="str">
        <f aca="false">IFERROR(INDEX(Roles!$D$5:$D$26,MATCH(G105,Roles!$A$5:$A$26,0)),"")</f>
        <v>medilens-backend-engineer</v>
      </c>
      <c r="I105" s="24" t="s">
        <v>812</v>
      </c>
      <c r="J105" s="24" t="s">
        <v>813</v>
      </c>
      <c r="K105" s="24" t="s">
        <v>814</v>
      </c>
      <c r="L105" s="24" t="s">
        <v>815</v>
      </c>
      <c r="M105" s="73"/>
      <c r="N105" s="76" t="n">
        <f aca="false">Settings!$C$5</f>
        <v>4</v>
      </c>
      <c r="O105" s="77"/>
      <c r="P105" s="78" t="s">
        <v>74</v>
      </c>
      <c r="Q105" s="73" t="str">
        <f aca="true">IF(OR(P105="Xong",P105="Bỏ"),"",IF(B105&lt;TODAY(),"Quá hạn",IF(B105=TODAY(),"Hôm nay","")))</f>
        <v/>
      </c>
      <c r="R105" s="79"/>
    </row>
    <row r="106" customFormat="false" ht="31.5" hidden="false" customHeight="true" outlineLevel="0" collapsed="false">
      <c r="A106" s="73" t="n">
        <v>103</v>
      </c>
      <c r="B106" s="74" t="n">
        <f aca="false">WORKDAY(Settings!$C$4-1,A106,Holidays!$A$5:$A$40)</f>
        <v>46465</v>
      </c>
      <c r="C106" s="73" t="s">
        <v>141</v>
      </c>
      <c r="D106" s="73" t="n">
        <f aca="false">INT((A106-1)/5)+1</f>
        <v>21</v>
      </c>
      <c r="E106" s="73" t="n">
        <f aca="false">MOD(A106-1,10)+1</f>
        <v>3</v>
      </c>
      <c r="F106" s="68" t="s">
        <v>138</v>
      </c>
      <c r="G106" s="73" t="s">
        <v>503</v>
      </c>
      <c r="H106" s="75" t="str">
        <f aca="false">IFERROR(INDEX(Roles!$D$5:$D$26,MATCH(G106,Roles!$A$5:$A$26,0)),"")</f>
        <v>medilens-backend-engineer</v>
      </c>
      <c r="I106" s="24" t="s">
        <v>816</v>
      </c>
      <c r="J106" s="24" t="s">
        <v>817</v>
      </c>
      <c r="K106" s="24" t="s">
        <v>818</v>
      </c>
      <c r="L106" s="24" t="s">
        <v>819</v>
      </c>
      <c r="M106" s="73"/>
      <c r="N106" s="76" t="n">
        <f aca="false">Settings!$C$5</f>
        <v>4</v>
      </c>
      <c r="O106" s="77"/>
      <c r="P106" s="78" t="s">
        <v>74</v>
      </c>
      <c r="Q106" s="73" t="str">
        <f aca="true">IF(OR(P106="Xong",P106="Bỏ"),"",IF(B106&lt;TODAY(),"Quá hạn",IF(B106=TODAY(),"Hôm nay","")))</f>
        <v/>
      </c>
      <c r="R106" s="79"/>
    </row>
    <row r="107" customFormat="false" ht="27.75" hidden="false" customHeight="true" outlineLevel="0" collapsed="false">
      <c r="A107" s="73" t="n">
        <v>104</v>
      </c>
      <c r="B107" s="74" t="n">
        <f aca="false">WORKDAY(Settings!$C$4-1,A107,Holidays!$A$5:$A$40)</f>
        <v>46468</v>
      </c>
      <c r="C107" s="73" t="s">
        <v>141</v>
      </c>
      <c r="D107" s="73" t="n">
        <f aca="false">INT((A107-1)/5)+1</f>
        <v>21</v>
      </c>
      <c r="E107" s="73" t="n">
        <f aca="false">MOD(A107-1,10)+1</f>
        <v>4</v>
      </c>
      <c r="F107" s="68" t="s">
        <v>138</v>
      </c>
      <c r="G107" s="73" t="s">
        <v>512</v>
      </c>
      <c r="H107" s="75" t="str">
        <f aca="false">IFERROR(INDEX(Roles!$D$5:$D$26,MATCH(G107,Roles!$A$5:$A$26,0)),"")</f>
        <v>medilens-frontend-engineer</v>
      </c>
      <c r="I107" s="24" t="s">
        <v>820</v>
      </c>
      <c r="J107" s="24" t="s">
        <v>821</v>
      </c>
      <c r="K107" s="24" t="s">
        <v>822</v>
      </c>
      <c r="L107" s="24" t="s">
        <v>823</v>
      </c>
      <c r="M107" s="73"/>
      <c r="N107" s="76" t="n">
        <f aca="false">Settings!$C$5</f>
        <v>4</v>
      </c>
      <c r="O107" s="77"/>
      <c r="P107" s="78" t="s">
        <v>74</v>
      </c>
      <c r="Q107" s="73" t="str">
        <f aca="true">IF(OR(P107="Xong",P107="Bỏ"),"",IF(B107&lt;TODAY(),"Quá hạn",IF(B107=TODAY(),"Hôm nay","")))</f>
        <v/>
      </c>
      <c r="R107" s="79"/>
    </row>
    <row r="108" customFormat="false" ht="31.5" hidden="false" customHeight="true" outlineLevel="0" collapsed="false">
      <c r="A108" s="73" t="n">
        <v>105</v>
      </c>
      <c r="B108" s="74" t="n">
        <f aca="false">WORKDAY(Settings!$C$4-1,A108,Holidays!$A$5:$A$40)</f>
        <v>46469</v>
      </c>
      <c r="C108" s="73" t="s">
        <v>141</v>
      </c>
      <c r="D108" s="73" t="n">
        <f aca="false">INT((A108-1)/5)+1</f>
        <v>21</v>
      </c>
      <c r="E108" s="73" t="n">
        <f aca="false">MOD(A108-1,10)+1</f>
        <v>5</v>
      </c>
      <c r="F108" s="68" t="s">
        <v>138</v>
      </c>
      <c r="G108" s="73" t="s">
        <v>503</v>
      </c>
      <c r="H108" s="75" t="str">
        <f aca="false">IFERROR(INDEX(Roles!$D$5:$D$26,MATCH(G108,Roles!$A$5:$A$26,0)),"")</f>
        <v>medilens-backend-engineer</v>
      </c>
      <c r="I108" s="24" t="s">
        <v>824</v>
      </c>
      <c r="J108" s="24" t="s">
        <v>825</v>
      </c>
      <c r="K108" s="24" t="s">
        <v>826</v>
      </c>
      <c r="L108" s="24" t="s">
        <v>827</v>
      </c>
      <c r="M108" s="73"/>
      <c r="N108" s="76" t="n">
        <f aca="false">Settings!$C$5</f>
        <v>4</v>
      </c>
      <c r="O108" s="77"/>
      <c r="P108" s="78" t="s">
        <v>74</v>
      </c>
      <c r="Q108" s="73" t="str">
        <f aca="true">IF(OR(P108="Xong",P108="Bỏ"),"",IF(B108&lt;TODAY(),"Quá hạn",IF(B108=TODAY(),"Hôm nay","")))</f>
        <v/>
      </c>
      <c r="R108" s="79"/>
    </row>
    <row r="109" customFormat="false" ht="27.75" hidden="false" customHeight="true" outlineLevel="0" collapsed="false">
      <c r="A109" s="73" t="n">
        <v>106</v>
      </c>
      <c r="B109" s="74" t="n">
        <f aca="false">WORKDAY(Settings!$C$4-1,A109,Holidays!$A$5:$A$40)</f>
        <v>46470</v>
      </c>
      <c r="C109" s="73" t="s">
        <v>141</v>
      </c>
      <c r="D109" s="73" t="n">
        <f aca="false">INT((A109-1)/5)+1</f>
        <v>22</v>
      </c>
      <c r="E109" s="73" t="n">
        <f aca="false">MOD(A109-1,10)+1</f>
        <v>6</v>
      </c>
      <c r="F109" s="68" t="s">
        <v>138</v>
      </c>
      <c r="G109" s="73" t="s">
        <v>503</v>
      </c>
      <c r="H109" s="75" t="str">
        <f aca="false">IFERROR(INDEX(Roles!$D$5:$D$26,MATCH(G109,Roles!$A$5:$A$26,0)),"")</f>
        <v>medilens-backend-engineer</v>
      </c>
      <c r="I109" s="24" t="s">
        <v>828</v>
      </c>
      <c r="J109" s="24" t="s">
        <v>829</v>
      </c>
      <c r="K109" s="24" t="s">
        <v>830</v>
      </c>
      <c r="L109" s="24" t="s">
        <v>831</v>
      </c>
      <c r="M109" s="73"/>
      <c r="N109" s="76" t="n">
        <f aca="false">Settings!$C$5</f>
        <v>4</v>
      </c>
      <c r="O109" s="77"/>
      <c r="P109" s="78" t="s">
        <v>74</v>
      </c>
      <c r="Q109" s="73" t="str">
        <f aca="true">IF(OR(P109="Xong",P109="Bỏ"),"",IF(B109&lt;TODAY(),"Quá hạn",IF(B109=TODAY(),"Hôm nay","")))</f>
        <v/>
      </c>
      <c r="R109" s="79"/>
    </row>
    <row r="110" customFormat="false" ht="27.75" hidden="false" customHeight="true" outlineLevel="0" collapsed="false">
      <c r="A110" s="73" t="n">
        <v>107</v>
      </c>
      <c r="B110" s="74" t="n">
        <f aca="false">WORKDAY(Settings!$C$4-1,A110,Holidays!$A$5:$A$40)</f>
        <v>46471</v>
      </c>
      <c r="C110" s="73" t="s">
        <v>141</v>
      </c>
      <c r="D110" s="73" t="n">
        <f aca="false">INT((A110-1)/5)+1</f>
        <v>22</v>
      </c>
      <c r="E110" s="73" t="n">
        <f aca="false">MOD(A110-1,10)+1</f>
        <v>7</v>
      </c>
      <c r="F110" s="68" t="s">
        <v>138</v>
      </c>
      <c r="G110" s="73" t="s">
        <v>563</v>
      </c>
      <c r="H110" s="75" t="str">
        <f aca="false">IFERROR(INDEX(Roles!$D$5:$D$26,MATCH(G110,Roles!$A$5:$A$26,0)),"")</f>
        <v>medilens-qa-engineer</v>
      </c>
      <c r="I110" s="24" t="s">
        <v>832</v>
      </c>
      <c r="J110" s="24" t="s">
        <v>833</v>
      </c>
      <c r="K110" s="24" t="s">
        <v>834</v>
      </c>
      <c r="L110" s="24" t="s">
        <v>835</v>
      </c>
      <c r="M110" s="73"/>
      <c r="N110" s="76" t="n">
        <f aca="false">Settings!$C$5</f>
        <v>4</v>
      </c>
      <c r="O110" s="77"/>
      <c r="P110" s="78" t="s">
        <v>74</v>
      </c>
      <c r="Q110" s="73" t="str">
        <f aca="true">IF(OR(P110="Xong",P110="Bỏ"),"",IF(B110&lt;TODAY(),"Quá hạn",IF(B110=TODAY(),"Hôm nay","")))</f>
        <v/>
      </c>
      <c r="R110" s="79"/>
    </row>
    <row r="111" customFormat="false" ht="31.5" hidden="false" customHeight="true" outlineLevel="0" collapsed="false">
      <c r="A111" s="73" t="n">
        <v>108</v>
      </c>
      <c r="B111" s="74" t="n">
        <f aca="false">WORKDAY(Settings!$C$4-1,A111,Holidays!$A$5:$A$40)</f>
        <v>46472</v>
      </c>
      <c r="C111" s="73" t="s">
        <v>141</v>
      </c>
      <c r="D111" s="73" t="n">
        <f aca="false">INT((A111-1)/5)+1</f>
        <v>22</v>
      </c>
      <c r="E111" s="73" t="n">
        <f aca="false">MOD(A111-1,10)+1</f>
        <v>8</v>
      </c>
      <c r="F111" s="68" t="s">
        <v>138</v>
      </c>
      <c r="G111" s="73" t="s">
        <v>454</v>
      </c>
      <c r="H111" s="75" t="str">
        <f aca="false">IFERROR(INDEX(Roles!$D$5:$D$26,MATCH(G111,Roles!$A$5:$A$26,0)),"")</f>
        <v>medilens-ai-ml-engineer</v>
      </c>
      <c r="I111" s="24" t="s">
        <v>836</v>
      </c>
      <c r="J111" s="24" t="s">
        <v>837</v>
      </c>
      <c r="K111" s="24" t="s">
        <v>838</v>
      </c>
      <c r="L111" s="24" t="s">
        <v>839</v>
      </c>
      <c r="M111" s="73"/>
      <c r="N111" s="76" t="n">
        <f aca="false">Settings!$C$5</f>
        <v>4</v>
      </c>
      <c r="O111" s="77"/>
      <c r="P111" s="78" t="s">
        <v>74</v>
      </c>
      <c r="Q111" s="73" t="str">
        <f aca="true">IF(OR(P111="Xong",P111="Bỏ"),"",IF(B111&lt;TODAY(),"Quá hạn",IF(B111=TODAY(),"Hôm nay","")))</f>
        <v/>
      </c>
      <c r="R111" s="79"/>
    </row>
    <row r="112" customFormat="false" ht="27.75" hidden="false" customHeight="true" outlineLevel="0" collapsed="false">
      <c r="A112" s="73" t="n">
        <v>109</v>
      </c>
      <c r="B112" s="74" t="n">
        <f aca="false">WORKDAY(Settings!$C$4-1,A112,Holidays!$A$5:$A$40)</f>
        <v>46475</v>
      </c>
      <c r="C112" s="73" t="s">
        <v>141</v>
      </c>
      <c r="D112" s="73" t="n">
        <f aca="false">INT((A112-1)/5)+1</f>
        <v>22</v>
      </c>
      <c r="E112" s="73" t="n">
        <f aca="false">MOD(A112-1,10)+1</f>
        <v>9</v>
      </c>
      <c r="F112" s="68" t="s">
        <v>138</v>
      </c>
      <c r="G112" s="73" t="s">
        <v>643</v>
      </c>
      <c r="H112" s="75" t="str">
        <f aca="false">IFERROR(INDEX(Roles!$D$5:$D$26,MATCH(G112,Roles!$A$5:$A$26,0)),"")</f>
        <v>medilens-technical-writer</v>
      </c>
      <c r="I112" s="24" t="s">
        <v>840</v>
      </c>
      <c r="J112" s="24" t="s">
        <v>841</v>
      </c>
      <c r="K112" s="24" t="s">
        <v>842</v>
      </c>
      <c r="L112" s="24" t="s">
        <v>843</v>
      </c>
      <c r="M112" s="73"/>
      <c r="N112" s="76" t="n">
        <f aca="false">Settings!$C$5</f>
        <v>4</v>
      </c>
      <c r="O112" s="77"/>
      <c r="P112" s="78" t="s">
        <v>74</v>
      </c>
      <c r="Q112" s="73" t="str">
        <f aca="true">IF(OR(P112="Xong",P112="Bỏ"),"",IF(B112&lt;TODAY(),"Quá hạn",IF(B112=TODAY(),"Hôm nay","")))</f>
        <v/>
      </c>
      <c r="R112" s="79"/>
    </row>
    <row r="113" customFormat="false" ht="27.75" hidden="false" customHeight="true" outlineLevel="0" collapsed="false">
      <c r="A113" s="73" t="n">
        <v>110</v>
      </c>
      <c r="B113" s="74" t="n">
        <f aca="false">WORKDAY(Settings!$C$4-1,A113,Holidays!$A$5:$A$40)</f>
        <v>46476</v>
      </c>
      <c r="C113" s="73" t="s">
        <v>141</v>
      </c>
      <c r="D113" s="73" t="n">
        <f aca="false">INT((A113-1)/5)+1</f>
        <v>22</v>
      </c>
      <c r="E113" s="73" t="n">
        <f aca="false">MOD(A113-1,10)+1</f>
        <v>10</v>
      </c>
      <c r="F113" s="68" t="s">
        <v>138</v>
      </c>
      <c r="G113" s="73" t="s">
        <v>477</v>
      </c>
      <c r="H113" s="75" t="str">
        <f aca="false">IFERROR(INDEX(Roles!$D$5:$D$26,MATCH(G113,Roles!$A$5:$A$26,0)),"")</f>
        <v>medilens-qc-release-gatekeeper</v>
      </c>
      <c r="I113" s="24" t="s">
        <v>844</v>
      </c>
      <c r="J113" s="24" t="s">
        <v>845</v>
      </c>
      <c r="K113" s="24" t="s">
        <v>846</v>
      </c>
      <c r="L113" s="24" t="s">
        <v>847</v>
      </c>
      <c r="M113" s="80" t="s">
        <v>145</v>
      </c>
      <c r="N113" s="76" t="n">
        <f aca="false">Settings!$C$5</f>
        <v>4</v>
      </c>
      <c r="O113" s="77"/>
      <c r="P113" s="78" t="s">
        <v>74</v>
      </c>
      <c r="Q113" s="73" t="str">
        <f aca="true">IF(OR(P113="Xong",P113="Bỏ"),"",IF(B113&lt;TODAY(),"Quá hạn",IF(B113=TODAY(),"Hôm nay","")))</f>
        <v/>
      </c>
      <c r="R113" s="79"/>
    </row>
    <row r="114" customFormat="false" ht="31.5" hidden="false" customHeight="true" outlineLevel="0" collapsed="false">
      <c r="A114" s="73" t="n">
        <v>111</v>
      </c>
      <c r="B114" s="74" t="n">
        <f aca="false">WORKDAY(Settings!$C$4-1,A114,Holidays!$A$5:$A$40)</f>
        <v>46477</v>
      </c>
      <c r="C114" s="73" t="s">
        <v>148</v>
      </c>
      <c r="D114" s="73" t="n">
        <f aca="false">INT((A114-1)/5)+1</f>
        <v>23</v>
      </c>
      <c r="E114" s="73" t="n">
        <f aca="false">MOD(A114-1,10)+1</f>
        <v>1</v>
      </c>
      <c r="F114" s="69" t="s">
        <v>146</v>
      </c>
      <c r="G114" s="73" t="s">
        <v>517</v>
      </c>
      <c r="H114" s="75" t="str">
        <f aca="false">IFERROR(INDEX(Roles!$D$5:$D$26,MATCH(G114,Roles!$A$5:$A$26,0)),"")</f>
        <v>medilens-security-engineer</v>
      </c>
      <c r="I114" s="24" t="s">
        <v>848</v>
      </c>
      <c r="J114" s="24" t="s">
        <v>849</v>
      </c>
      <c r="K114" s="24" t="s">
        <v>850</v>
      </c>
      <c r="L114" s="24" t="s">
        <v>851</v>
      </c>
      <c r="M114" s="73"/>
      <c r="N114" s="76" t="n">
        <f aca="false">Settings!$C$5</f>
        <v>4</v>
      </c>
      <c r="O114" s="77"/>
      <c r="P114" s="78" t="s">
        <v>74</v>
      </c>
      <c r="Q114" s="73" t="str">
        <f aca="true">IF(OR(P114="Xong",P114="Bỏ"),"",IF(B114&lt;TODAY(),"Quá hạn",IF(B114=TODAY(),"Hôm nay","")))</f>
        <v/>
      </c>
      <c r="R114" s="79"/>
    </row>
    <row r="115" customFormat="false" ht="45.75" hidden="false" customHeight="true" outlineLevel="0" collapsed="false">
      <c r="A115" s="73" t="n">
        <v>112</v>
      </c>
      <c r="B115" s="74" t="n">
        <f aca="false">WORKDAY(Settings!$C$4-1,A115,Holidays!$A$5:$A$40)</f>
        <v>46478</v>
      </c>
      <c r="C115" s="73" t="s">
        <v>148</v>
      </c>
      <c r="D115" s="73" t="n">
        <f aca="false">INT((A115-1)/5)+1</f>
        <v>23</v>
      </c>
      <c r="E115" s="73" t="n">
        <f aca="false">MOD(A115-1,10)+1</f>
        <v>2</v>
      </c>
      <c r="F115" s="69" t="s">
        <v>146</v>
      </c>
      <c r="G115" s="73" t="s">
        <v>486</v>
      </c>
      <c r="H115" s="75" t="str">
        <f aca="false">IFERROR(INDEX(Roles!$D$5:$D$26,MATCH(G115,Roles!$A$5:$A$26,0)),"")</f>
        <v>medilens-cloud-devops-engineer</v>
      </c>
      <c r="I115" s="24" t="s">
        <v>852</v>
      </c>
      <c r="J115" s="24" t="s">
        <v>853</v>
      </c>
      <c r="K115" s="24" t="s">
        <v>854</v>
      </c>
      <c r="L115" s="24" t="s">
        <v>855</v>
      </c>
      <c r="M115" s="73"/>
      <c r="N115" s="76" t="n">
        <f aca="false">Settings!$C$5</f>
        <v>4</v>
      </c>
      <c r="O115" s="77"/>
      <c r="P115" s="78" t="s">
        <v>74</v>
      </c>
      <c r="Q115" s="73" t="str">
        <f aca="true">IF(OR(P115="Xong",P115="Bỏ"),"",IF(B115&lt;TODAY(),"Quá hạn",IF(B115=TODAY(),"Hôm nay","")))</f>
        <v/>
      </c>
      <c r="R115" s="79"/>
    </row>
    <row r="116" customFormat="false" ht="31.5" hidden="false" customHeight="true" outlineLevel="0" collapsed="false">
      <c r="A116" s="73" t="n">
        <v>113</v>
      </c>
      <c r="B116" s="74" t="n">
        <f aca="false">WORKDAY(Settings!$C$4-1,A116,Holidays!$A$5:$A$40)</f>
        <v>46479</v>
      </c>
      <c r="C116" s="73" t="s">
        <v>148</v>
      </c>
      <c r="D116" s="73" t="n">
        <f aca="false">INT((A116-1)/5)+1</f>
        <v>23</v>
      </c>
      <c r="E116" s="73" t="n">
        <f aca="false">MOD(A116-1,10)+1</f>
        <v>3</v>
      </c>
      <c r="F116" s="69" t="s">
        <v>146</v>
      </c>
      <c r="G116" s="73" t="s">
        <v>503</v>
      </c>
      <c r="H116" s="75" t="str">
        <f aca="false">IFERROR(INDEX(Roles!$D$5:$D$26,MATCH(G116,Roles!$A$5:$A$26,0)),"")</f>
        <v>medilens-backend-engineer</v>
      </c>
      <c r="I116" s="24" t="s">
        <v>856</v>
      </c>
      <c r="J116" s="24" t="s">
        <v>857</v>
      </c>
      <c r="K116" s="24" t="s">
        <v>858</v>
      </c>
      <c r="L116" s="24" t="s">
        <v>859</v>
      </c>
      <c r="M116" s="73"/>
      <c r="N116" s="76" t="n">
        <f aca="false">Settings!$C$5</f>
        <v>4</v>
      </c>
      <c r="O116" s="77"/>
      <c r="P116" s="78" t="s">
        <v>74</v>
      </c>
      <c r="Q116" s="73" t="str">
        <f aca="true">IF(OR(P116="Xong",P116="Bỏ"),"",IF(B116&lt;TODAY(),"Quá hạn",IF(B116=TODAY(),"Hôm nay","")))</f>
        <v/>
      </c>
      <c r="R116" s="79"/>
    </row>
    <row r="117" customFormat="false" ht="27.75" hidden="false" customHeight="true" outlineLevel="0" collapsed="false">
      <c r="A117" s="73" t="n">
        <v>114</v>
      </c>
      <c r="B117" s="74" t="n">
        <f aca="false">WORKDAY(Settings!$C$4-1,A117,Holidays!$A$5:$A$40)</f>
        <v>46482</v>
      </c>
      <c r="C117" s="73" t="s">
        <v>148</v>
      </c>
      <c r="D117" s="73" t="n">
        <f aca="false">INT((A117-1)/5)+1</f>
        <v>23</v>
      </c>
      <c r="E117" s="73" t="n">
        <f aca="false">MOD(A117-1,10)+1</f>
        <v>4</v>
      </c>
      <c r="F117" s="69" t="s">
        <v>146</v>
      </c>
      <c r="G117" s="73" t="s">
        <v>517</v>
      </c>
      <c r="H117" s="75" t="str">
        <f aca="false">IFERROR(INDEX(Roles!$D$5:$D$26,MATCH(G117,Roles!$A$5:$A$26,0)),"")</f>
        <v>medilens-security-engineer</v>
      </c>
      <c r="I117" s="24" t="s">
        <v>860</v>
      </c>
      <c r="J117" s="24" t="s">
        <v>861</v>
      </c>
      <c r="K117" s="24" t="s">
        <v>862</v>
      </c>
      <c r="L117" s="24" t="s">
        <v>863</v>
      </c>
      <c r="M117" s="73"/>
      <c r="N117" s="76" t="n">
        <f aca="false">Settings!$C$5</f>
        <v>4</v>
      </c>
      <c r="O117" s="77"/>
      <c r="P117" s="78" t="s">
        <v>74</v>
      </c>
      <c r="Q117" s="73" t="str">
        <f aca="true">IF(OR(P117="Xong",P117="Bỏ"),"",IF(B117&lt;TODAY(),"Quá hạn",IF(B117=TODAY(),"Hôm nay","")))</f>
        <v/>
      </c>
      <c r="R117" s="79"/>
    </row>
    <row r="118" customFormat="false" ht="27.75" hidden="false" customHeight="true" outlineLevel="0" collapsed="false">
      <c r="A118" s="73" t="n">
        <v>115</v>
      </c>
      <c r="B118" s="74" t="n">
        <f aca="false">WORKDAY(Settings!$C$4-1,A118,Holidays!$A$5:$A$40)</f>
        <v>46483</v>
      </c>
      <c r="C118" s="73" t="s">
        <v>148</v>
      </c>
      <c r="D118" s="73" t="n">
        <f aca="false">INT((A118-1)/5)+1</f>
        <v>23</v>
      </c>
      <c r="E118" s="73" t="n">
        <f aca="false">MOD(A118-1,10)+1</f>
        <v>5</v>
      </c>
      <c r="F118" s="69" t="s">
        <v>146</v>
      </c>
      <c r="G118" s="73" t="s">
        <v>486</v>
      </c>
      <c r="H118" s="75" t="str">
        <f aca="false">IFERROR(INDEX(Roles!$D$5:$D$26,MATCH(G118,Roles!$A$5:$A$26,0)),"")</f>
        <v>medilens-cloud-devops-engineer</v>
      </c>
      <c r="I118" s="24" t="s">
        <v>864</v>
      </c>
      <c r="J118" s="24" t="s">
        <v>864</v>
      </c>
      <c r="K118" s="24" t="s">
        <v>865</v>
      </c>
      <c r="L118" s="24" t="s">
        <v>866</v>
      </c>
      <c r="M118" s="73"/>
      <c r="N118" s="76" t="n">
        <f aca="false">Settings!$C$5</f>
        <v>4</v>
      </c>
      <c r="O118" s="77"/>
      <c r="P118" s="78" t="s">
        <v>74</v>
      </c>
      <c r="Q118" s="73" t="str">
        <f aca="true">IF(OR(P118="Xong",P118="Bỏ"),"",IF(B118&lt;TODAY(),"Quá hạn",IF(B118=TODAY(),"Hôm nay","")))</f>
        <v/>
      </c>
      <c r="R118" s="79"/>
    </row>
    <row r="119" customFormat="false" ht="27.75" hidden="false" customHeight="true" outlineLevel="0" collapsed="false">
      <c r="A119" s="73" t="n">
        <v>116</v>
      </c>
      <c r="B119" s="74" t="n">
        <f aca="false">WORKDAY(Settings!$C$4-1,A119,Holidays!$A$5:$A$40)</f>
        <v>46484</v>
      </c>
      <c r="C119" s="73" t="s">
        <v>148</v>
      </c>
      <c r="D119" s="73" t="n">
        <f aca="false">INT((A119-1)/5)+1</f>
        <v>24</v>
      </c>
      <c r="E119" s="73" t="n">
        <f aca="false">MOD(A119-1,10)+1</f>
        <v>6</v>
      </c>
      <c r="F119" s="69" t="s">
        <v>146</v>
      </c>
      <c r="G119" s="73" t="s">
        <v>563</v>
      </c>
      <c r="H119" s="75" t="str">
        <f aca="false">IFERROR(INDEX(Roles!$D$5:$D$26,MATCH(G119,Roles!$A$5:$A$26,0)),"")</f>
        <v>medilens-qa-engineer</v>
      </c>
      <c r="I119" s="24" t="s">
        <v>867</v>
      </c>
      <c r="J119" s="24" t="s">
        <v>868</v>
      </c>
      <c r="K119" s="24" t="s">
        <v>869</v>
      </c>
      <c r="L119" s="24" t="s">
        <v>870</v>
      </c>
      <c r="M119" s="73"/>
      <c r="N119" s="76" t="n">
        <f aca="false">Settings!$C$5</f>
        <v>4</v>
      </c>
      <c r="O119" s="77"/>
      <c r="P119" s="78" t="s">
        <v>74</v>
      </c>
      <c r="Q119" s="73" t="str">
        <f aca="true">IF(OR(P119="Xong",P119="Bỏ"),"",IF(B119&lt;TODAY(),"Quá hạn",IF(B119=TODAY(),"Hôm nay","")))</f>
        <v/>
      </c>
      <c r="R119" s="79"/>
    </row>
    <row r="120" customFormat="false" ht="27.75" hidden="false" customHeight="true" outlineLevel="0" collapsed="false">
      <c r="A120" s="73" t="n">
        <v>117</v>
      </c>
      <c r="B120" s="74" t="n">
        <f aca="false">WORKDAY(Settings!$C$4-1,A120,Holidays!$A$5:$A$40)</f>
        <v>46485</v>
      </c>
      <c r="C120" s="73" t="s">
        <v>148</v>
      </c>
      <c r="D120" s="73" t="n">
        <f aca="false">INT((A120-1)/5)+1</f>
        <v>24</v>
      </c>
      <c r="E120" s="73" t="n">
        <f aca="false">MOD(A120-1,10)+1</f>
        <v>7</v>
      </c>
      <c r="F120" s="69" t="s">
        <v>146</v>
      </c>
      <c r="G120" s="73" t="s">
        <v>517</v>
      </c>
      <c r="H120" s="75" t="str">
        <f aca="false">IFERROR(INDEX(Roles!$D$5:$D$26,MATCH(G120,Roles!$A$5:$A$26,0)),"")</f>
        <v>medilens-security-engineer</v>
      </c>
      <c r="I120" s="24" t="s">
        <v>871</v>
      </c>
      <c r="J120" s="24" t="s">
        <v>872</v>
      </c>
      <c r="K120" s="24" t="s">
        <v>873</v>
      </c>
      <c r="L120" s="24" t="s">
        <v>874</v>
      </c>
      <c r="M120" s="73"/>
      <c r="N120" s="76" t="n">
        <f aca="false">Settings!$C$5</f>
        <v>4</v>
      </c>
      <c r="O120" s="77"/>
      <c r="P120" s="78" t="s">
        <v>74</v>
      </c>
      <c r="Q120" s="73" t="str">
        <f aca="true">IF(OR(P120="Xong",P120="Bỏ"),"",IF(B120&lt;TODAY(),"Quá hạn",IF(B120=TODAY(),"Hôm nay","")))</f>
        <v/>
      </c>
      <c r="R120" s="79"/>
    </row>
    <row r="121" customFormat="false" ht="27.75" hidden="false" customHeight="true" outlineLevel="0" collapsed="false">
      <c r="A121" s="73" t="n">
        <v>118</v>
      </c>
      <c r="B121" s="74" t="n">
        <f aca="false">WORKDAY(Settings!$C$4-1,A121,Holidays!$A$5:$A$40)</f>
        <v>46486</v>
      </c>
      <c r="C121" s="73" t="s">
        <v>148</v>
      </c>
      <c r="D121" s="73" t="n">
        <f aca="false">INT((A121-1)/5)+1</f>
        <v>24</v>
      </c>
      <c r="E121" s="73" t="n">
        <f aca="false">MOD(A121-1,10)+1</f>
        <v>8</v>
      </c>
      <c r="F121" s="69" t="s">
        <v>146</v>
      </c>
      <c r="G121" s="73" t="s">
        <v>512</v>
      </c>
      <c r="H121" s="75" t="str">
        <f aca="false">IFERROR(INDEX(Roles!$D$5:$D$26,MATCH(G121,Roles!$A$5:$A$26,0)),"")</f>
        <v>medilens-frontend-engineer</v>
      </c>
      <c r="I121" s="24" t="s">
        <v>875</v>
      </c>
      <c r="J121" s="24" t="s">
        <v>876</v>
      </c>
      <c r="K121" s="24" t="s">
        <v>877</v>
      </c>
      <c r="L121" s="24" t="s">
        <v>878</v>
      </c>
      <c r="M121" s="73"/>
      <c r="N121" s="76" t="n">
        <f aca="false">Settings!$C$5</f>
        <v>4</v>
      </c>
      <c r="O121" s="77"/>
      <c r="P121" s="78" t="s">
        <v>74</v>
      </c>
      <c r="Q121" s="73" t="str">
        <f aca="true">IF(OR(P121="Xong",P121="Bỏ"),"",IF(B121&lt;TODAY(),"Quá hạn",IF(B121=TODAY(),"Hôm nay","")))</f>
        <v/>
      </c>
      <c r="R121" s="79"/>
    </row>
    <row r="122" customFormat="false" ht="27.75" hidden="false" customHeight="true" outlineLevel="0" collapsed="false">
      <c r="A122" s="73" t="n">
        <v>119</v>
      </c>
      <c r="B122" s="74" t="n">
        <f aca="false">WORKDAY(Settings!$C$4-1,A122,Holidays!$A$5:$A$40)</f>
        <v>46489</v>
      </c>
      <c r="C122" s="73" t="s">
        <v>148</v>
      </c>
      <c r="D122" s="73" t="n">
        <f aca="false">INT((A122-1)/5)+1</f>
        <v>24</v>
      </c>
      <c r="E122" s="73" t="n">
        <f aca="false">MOD(A122-1,10)+1</f>
        <v>9</v>
      </c>
      <c r="F122" s="69" t="s">
        <v>146</v>
      </c>
      <c r="G122" s="73" t="s">
        <v>879</v>
      </c>
      <c r="H122" s="75" t="str">
        <f aca="false">IFERROR(INDEX(Roles!$D$5:$D$26,MATCH(G122,Roles!$A$5:$A$26,0)),"")</f>
        <v>medilens-sre-operations</v>
      </c>
      <c r="I122" s="24" t="s">
        <v>880</v>
      </c>
      <c r="J122" s="24" t="s">
        <v>881</v>
      </c>
      <c r="K122" s="24" t="s">
        <v>882</v>
      </c>
      <c r="L122" s="24" t="s">
        <v>883</v>
      </c>
      <c r="M122" s="73"/>
      <c r="N122" s="76" t="n">
        <f aca="false">Settings!$C$5</f>
        <v>4</v>
      </c>
      <c r="O122" s="77"/>
      <c r="P122" s="78" t="s">
        <v>74</v>
      </c>
      <c r="Q122" s="73" t="str">
        <f aca="true">IF(OR(P122="Xong",P122="Bỏ"),"",IF(B122&lt;TODAY(),"Quá hạn",IF(B122=TODAY(),"Hôm nay","")))</f>
        <v/>
      </c>
      <c r="R122" s="79"/>
    </row>
    <row r="123" customFormat="false" ht="27.75" hidden="false" customHeight="true" outlineLevel="0" collapsed="false">
      <c r="A123" s="73" t="n">
        <v>120</v>
      </c>
      <c r="B123" s="74" t="n">
        <f aca="false">WORKDAY(Settings!$C$4-1,A123,Holidays!$A$5:$A$40)</f>
        <v>46490</v>
      </c>
      <c r="C123" s="73" t="s">
        <v>148</v>
      </c>
      <c r="D123" s="73" t="n">
        <f aca="false">INT((A123-1)/5)+1</f>
        <v>24</v>
      </c>
      <c r="E123" s="73" t="n">
        <f aca="false">MOD(A123-1,10)+1</f>
        <v>10</v>
      </c>
      <c r="F123" s="69" t="s">
        <v>146</v>
      </c>
      <c r="G123" s="73" t="s">
        <v>393</v>
      </c>
      <c r="H123" s="75" t="str">
        <f aca="false">IFERROR(INDEX(Roles!$D$5:$D$26,MATCH(G123,Roles!$A$5:$A$26,0)),"")</f>
        <v>medilens-product-manager</v>
      </c>
      <c r="I123" s="24" t="s">
        <v>884</v>
      </c>
      <c r="J123" s="24" t="s">
        <v>885</v>
      </c>
      <c r="K123" s="24" t="s">
        <v>886</v>
      </c>
      <c r="L123" s="24" t="s">
        <v>887</v>
      </c>
      <c r="M123" s="73"/>
      <c r="N123" s="76" t="n">
        <f aca="false">Settings!$C$5</f>
        <v>4</v>
      </c>
      <c r="O123" s="77"/>
      <c r="P123" s="78" t="s">
        <v>74</v>
      </c>
      <c r="Q123" s="73" t="str">
        <f aca="true">IF(OR(P123="Xong",P123="Bỏ"),"",IF(B123&lt;TODAY(),"Quá hạn",IF(B123=TODAY(),"Hôm nay","")))</f>
        <v/>
      </c>
      <c r="R123" s="79"/>
    </row>
    <row r="124" customFormat="false" ht="31.5" hidden="false" customHeight="true" outlineLevel="0" collapsed="false">
      <c r="A124" s="73" t="n">
        <v>121</v>
      </c>
      <c r="B124" s="74" t="n">
        <f aca="false">WORKDAY(Settings!$C$4-1,A124,Holidays!$A$5:$A$40)</f>
        <v>46491</v>
      </c>
      <c r="C124" s="73" t="s">
        <v>192</v>
      </c>
      <c r="D124" s="73" t="n">
        <f aca="false">INT((A124-1)/5)+1</f>
        <v>25</v>
      </c>
      <c r="E124" s="73" t="n">
        <f aca="false">MOD(A124-1,10)+1</f>
        <v>1</v>
      </c>
      <c r="F124" s="69" t="s">
        <v>146</v>
      </c>
      <c r="G124" s="73" t="s">
        <v>429</v>
      </c>
      <c r="H124" s="75" t="str">
        <f aca="false">IFERROR(INDEX(Roles!$D$5:$D$26,MATCH(G124,Roles!$A$5:$A$26,0)),"")</f>
        <v>medilens-clinical-safety-officer</v>
      </c>
      <c r="I124" s="24" t="s">
        <v>888</v>
      </c>
      <c r="J124" s="24" t="s">
        <v>889</v>
      </c>
      <c r="K124" s="24" t="s">
        <v>890</v>
      </c>
      <c r="L124" s="24" t="s">
        <v>891</v>
      </c>
      <c r="M124" s="73"/>
      <c r="N124" s="76" t="n">
        <f aca="false">Settings!$C$5</f>
        <v>4</v>
      </c>
      <c r="O124" s="77"/>
      <c r="P124" s="78" t="s">
        <v>74</v>
      </c>
      <c r="Q124" s="73" t="str">
        <f aca="true">IF(OR(P124="Xong",P124="Bỏ"),"",IF(B124&lt;TODAY(),"Quá hạn",IF(B124=TODAY(),"Hôm nay","")))</f>
        <v/>
      </c>
      <c r="R124" s="79"/>
    </row>
    <row r="125" customFormat="false" ht="31.5" hidden="false" customHeight="true" outlineLevel="0" collapsed="false">
      <c r="A125" s="73" t="n">
        <v>122</v>
      </c>
      <c r="B125" s="74" t="n">
        <f aca="false">WORKDAY(Settings!$C$4-1,A125,Holidays!$A$5:$A$40)</f>
        <v>46492</v>
      </c>
      <c r="C125" s="73" t="s">
        <v>192</v>
      </c>
      <c r="D125" s="73" t="n">
        <f aca="false">INT((A125-1)/5)+1</f>
        <v>25</v>
      </c>
      <c r="E125" s="73" t="n">
        <f aca="false">MOD(A125-1,10)+1</f>
        <v>2</v>
      </c>
      <c r="F125" s="69" t="s">
        <v>146</v>
      </c>
      <c r="G125" s="73" t="s">
        <v>429</v>
      </c>
      <c r="H125" s="75" t="str">
        <f aca="false">IFERROR(INDEX(Roles!$D$5:$D$26,MATCH(G125,Roles!$A$5:$A$26,0)),"")</f>
        <v>medilens-clinical-safety-officer</v>
      </c>
      <c r="I125" s="24" t="s">
        <v>892</v>
      </c>
      <c r="J125" s="24" t="s">
        <v>893</v>
      </c>
      <c r="K125" s="24" t="s">
        <v>894</v>
      </c>
      <c r="L125" s="24" t="s">
        <v>895</v>
      </c>
      <c r="M125" s="73"/>
      <c r="N125" s="76" t="n">
        <f aca="false">Settings!$C$5</f>
        <v>4</v>
      </c>
      <c r="O125" s="77"/>
      <c r="P125" s="78" t="s">
        <v>74</v>
      </c>
      <c r="Q125" s="73" t="str">
        <f aca="true">IF(OR(P125="Xong",P125="Bỏ"),"",IF(B125&lt;TODAY(),"Quá hạn",IF(B125=TODAY(),"Hôm nay","")))</f>
        <v/>
      </c>
      <c r="R125" s="79"/>
    </row>
    <row r="126" customFormat="false" ht="31.5" hidden="false" customHeight="true" outlineLevel="0" collapsed="false">
      <c r="A126" s="73" t="n">
        <v>123</v>
      </c>
      <c r="B126" s="74" t="n">
        <f aca="false">WORKDAY(Settings!$C$4-1,A126,Holidays!$A$5:$A$40)</f>
        <v>46496</v>
      </c>
      <c r="C126" s="73" t="s">
        <v>192</v>
      </c>
      <c r="D126" s="73" t="n">
        <f aca="false">INT((A126-1)/5)+1</f>
        <v>25</v>
      </c>
      <c r="E126" s="73" t="n">
        <f aca="false">MOD(A126-1,10)+1</f>
        <v>3</v>
      </c>
      <c r="F126" s="69" t="s">
        <v>146</v>
      </c>
      <c r="G126" s="73" t="s">
        <v>420</v>
      </c>
      <c r="H126" s="75" t="str">
        <f aca="false">IFERROR(INDEX(Roles!$D$5:$D$26,MATCH(G126,Roles!$A$5:$A$26,0)),"")</f>
        <v>medilens-ux-ui-designer</v>
      </c>
      <c r="I126" s="24" t="s">
        <v>896</v>
      </c>
      <c r="J126" s="24" t="s">
        <v>897</v>
      </c>
      <c r="K126" s="24" t="s">
        <v>898</v>
      </c>
      <c r="L126" s="24" t="s">
        <v>899</v>
      </c>
      <c r="M126" s="73"/>
      <c r="N126" s="76" t="n">
        <f aca="false">Settings!$C$5</f>
        <v>4</v>
      </c>
      <c r="O126" s="77"/>
      <c r="P126" s="78" t="s">
        <v>74</v>
      </c>
      <c r="Q126" s="73" t="str">
        <f aca="true">IF(OR(P126="Xong",P126="Bỏ"),"",IF(B126&lt;TODAY(),"Quá hạn",IF(B126=TODAY(),"Hôm nay","")))</f>
        <v/>
      </c>
      <c r="R126" s="79"/>
    </row>
    <row r="127" customFormat="false" ht="31.5" hidden="false" customHeight="true" outlineLevel="0" collapsed="false">
      <c r="A127" s="73" t="n">
        <v>124</v>
      </c>
      <c r="B127" s="74" t="n">
        <f aca="false">WORKDAY(Settings!$C$4-1,A127,Holidays!$A$5:$A$40)</f>
        <v>46497</v>
      </c>
      <c r="C127" s="73" t="s">
        <v>192</v>
      </c>
      <c r="D127" s="73" t="n">
        <f aca="false">INT((A127-1)/5)+1</f>
        <v>25</v>
      </c>
      <c r="E127" s="73" t="n">
        <f aca="false">MOD(A127-1,10)+1</f>
        <v>4</v>
      </c>
      <c r="F127" s="69" t="s">
        <v>146</v>
      </c>
      <c r="G127" s="73" t="s">
        <v>402</v>
      </c>
      <c r="H127" s="75" t="str">
        <f aca="false">IFERROR(INDEX(Roles!$D$5:$D$26,MATCH(G127,Roles!$A$5:$A$26,0)),"")</f>
        <v>medilens-regulatory-privacy-officer</v>
      </c>
      <c r="I127" s="24" t="s">
        <v>900</v>
      </c>
      <c r="J127" s="24" t="s">
        <v>901</v>
      </c>
      <c r="K127" s="24" t="s">
        <v>902</v>
      </c>
      <c r="L127" s="24" t="s">
        <v>903</v>
      </c>
      <c r="M127" s="73"/>
      <c r="N127" s="76" t="n">
        <f aca="false">Settings!$C$5</f>
        <v>4</v>
      </c>
      <c r="O127" s="77"/>
      <c r="P127" s="78" t="s">
        <v>74</v>
      </c>
      <c r="Q127" s="73" t="str">
        <f aca="true">IF(OR(P127="Xong",P127="Bỏ"),"",IF(B127&lt;TODAY(),"Quá hạn",IF(B127=TODAY(),"Hôm nay","")))</f>
        <v/>
      </c>
      <c r="R127" s="79"/>
    </row>
    <row r="128" customFormat="false" ht="31.5" hidden="false" customHeight="true" outlineLevel="0" collapsed="false">
      <c r="A128" s="73" t="n">
        <v>125</v>
      </c>
      <c r="B128" s="74" t="n">
        <f aca="false">WORKDAY(Settings!$C$4-1,A128,Holidays!$A$5:$A$40)</f>
        <v>46498</v>
      </c>
      <c r="C128" s="73" t="s">
        <v>192</v>
      </c>
      <c r="D128" s="73" t="n">
        <f aca="false">INT((A128-1)/5)+1</f>
        <v>25</v>
      </c>
      <c r="E128" s="73" t="n">
        <f aca="false">MOD(A128-1,10)+1</f>
        <v>5</v>
      </c>
      <c r="F128" s="69" t="s">
        <v>146</v>
      </c>
      <c r="G128" s="73" t="s">
        <v>402</v>
      </c>
      <c r="H128" s="75" t="str">
        <f aca="false">IFERROR(INDEX(Roles!$D$5:$D$26,MATCH(G128,Roles!$A$5:$A$26,0)),"")</f>
        <v>medilens-regulatory-privacy-officer</v>
      </c>
      <c r="I128" s="24" t="s">
        <v>904</v>
      </c>
      <c r="J128" s="24" t="s">
        <v>905</v>
      </c>
      <c r="K128" s="24" t="s">
        <v>906</v>
      </c>
      <c r="L128" s="24" t="s">
        <v>907</v>
      </c>
      <c r="M128" s="73"/>
      <c r="N128" s="76" t="n">
        <f aca="false">Settings!$C$5</f>
        <v>4</v>
      </c>
      <c r="O128" s="77"/>
      <c r="P128" s="78" t="s">
        <v>74</v>
      </c>
      <c r="Q128" s="73" t="str">
        <f aca="true">IF(OR(P128="Xong",P128="Bỏ"),"",IF(B128&lt;TODAY(),"Quá hạn",IF(B128=TODAY(),"Hôm nay","")))</f>
        <v/>
      </c>
      <c r="R128" s="79"/>
    </row>
    <row r="129" customFormat="false" ht="27.75" hidden="false" customHeight="true" outlineLevel="0" collapsed="false">
      <c r="A129" s="73" t="n">
        <v>126</v>
      </c>
      <c r="B129" s="74" t="n">
        <f aca="false">WORKDAY(Settings!$C$4-1,A129,Holidays!$A$5:$A$40)</f>
        <v>46499</v>
      </c>
      <c r="C129" s="73" t="s">
        <v>192</v>
      </c>
      <c r="D129" s="73" t="n">
        <f aca="false">INT((A129-1)/5)+1</f>
        <v>26</v>
      </c>
      <c r="E129" s="73" t="n">
        <f aca="false">MOD(A129-1,10)+1</f>
        <v>6</v>
      </c>
      <c r="F129" s="69" t="s">
        <v>146</v>
      </c>
      <c r="G129" s="73" t="s">
        <v>402</v>
      </c>
      <c r="H129" s="75" t="str">
        <f aca="false">IFERROR(INDEX(Roles!$D$5:$D$26,MATCH(G129,Roles!$A$5:$A$26,0)),"")</f>
        <v>medilens-regulatory-privacy-officer</v>
      </c>
      <c r="I129" s="24" t="s">
        <v>908</v>
      </c>
      <c r="J129" s="24" t="s">
        <v>909</v>
      </c>
      <c r="K129" s="24" t="s">
        <v>910</v>
      </c>
      <c r="L129" s="24" t="s">
        <v>911</v>
      </c>
      <c r="M129" s="73"/>
      <c r="N129" s="76" t="n">
        <f aca="false">Settings!$C$5</f>
        <v>4</v>
      </c>
      <c r="O129" s="77"/>
      <c r="P129" s="78" t="s">
        <v>74</v>
      </c>
      <c r="Q129" s="73" t="str">
        <f aca="true">IF(OR(P129="Xong",P129="Bỏ"),"",IF(B129&lt;TODAY(),"Quá hạn",IF(B129=TODAY(),"Hôm nay","")))</f>
        <v/>
      </c>
      <c r="R129" s="79"/>
    </row>
    <row r="130" customFormat="false" ht="27.75" hidden="false" customHeight="true" outlineLevel="0" collapsed="false">
      <c r="A130" s="73" t="n">
        <v>127</v>
      </c>
      <c r="B130" s="74" t="n">
        <f aca="false">WORKDAY(Settings!$C$4-1,A130,Holidays!$A$5:$A$40)</f>
        <v>46500</v>
      </c>
      <c r="C130" s="73" t="s">
        <v>192</v>
      </c>
      <c r="D130" s="73" t="n">
        <f aca="false">INT((A130-1)/5)+1</f>
        <v>26</v>
      </c>
      <c r="E130" s="73" t="n">
        <f aca="false">MOD(A130-1,10)+1</f>
        <v>7</v>
      </c>
      <c r="F130" s="69" t="s">
        <v>146</v>
      </c>
      <c r="G130" s="73" t="s">
        <v>429</v>
      </c>
      <c r="H130" s="75" t="str">
        <f aca="false">IFERROR(INDEX(Roles!$D$5:$D$26,MATCH(G130,Roles!$A$5:$A$26,0)),"")</f>
        <v>medilens-clinical-safety-officer</v>
      </c>
      <c r="I130" s="24" t="s">
        <v>912</v>
      </c>
      <c r="J130" s="24" t="s">
        <v>913</v>
      </c>
      <c r="K130" s="24" t="s">
        <v>914</v>
      </c>
      <c r="L130" s="24" t="s">
        <v>915</v>
      </c>
      <c r="M130" s="73"/>
      <c r="N130" s="76" t="n">
        <f aca="false">Settings!$C$5</f>
        <v>4</v>
      </c>
      <c r="O130" s="77"/>
      <c r="P130" s="78" t="s">
        <v>74</v>
      </c>
      <c r="Q130" s="73" t="str">
        <f aca="true">IF(OR(P130="Xong",P130="Bỏ"),"",IF(B130&lt;TODAY(),"Quá hạn",IF(B130=TODAY(),"Hôm nay","")))</f>
        <v/>
      </c>
      <c r="R130" s="79"/>
    </row>
    <row r="131" customFormat="false" ht="31.5" hidden="false" customHeight="true" outlineLevel="0" collapsed="false">
      <c r="A131" s="73" t="n">
        <v>128</v>
      </c>
      <c r="B131" s="74" t="n">
        <f aca="false">WORKDAY(Settings!$C$4-1,A131,Holidays!$A$5:$A$40)</f>
        <v>46503</v>
      </c>
      <c r="C131" s="73" t="s">
        <v>192</v>
      </c>
      <c r="D131" s="73" t="n">
        <f aca="false">INT((A131-1)/5)+1</f>
        <v>26</v>
      </c>
      <c r="E131" s="73" t="n">
        <f aca="false">MOD(A131-1,10)+1</f>
        <v>8</v>
      </c>
      <c r="F131" s="69" t="s">
        <v>146</v>
      </c>
      <c r="G131" s="73" t="s">
        <v>517</v>
      </c>
      <c r="H131" s="75" t="str">
        <f aca="false">IFERROR(INDEX(Roles!$D$5:$D$26,MATCH(G131,Roles!$A$5:$A$26,0)),"")</f>
        <v>medilens-security-engineer</v>
      </c>
      <c r="I131" s="24" t="s">
        <v>916</v>
      </c>
      <c r="J131" s="24" t="s">
        <v>917</v>
      </c>
      <c r="K131" s="24" t="s">
        <v>918</v>
      </c>
      <c r="L131" s="24" t="s">
        <v>919</v>
      </c>
      <c r="M131" s="73"/>
      <c r="N131" s="76" t="n">
        <f aca="false">Settings!$C$5</f>
        <v>4</v>
      </c>
      <c r="O131" s="77"/>
      <c r="P131" s="78" t="s">
        <v>74</v>
      </c>
      <c r="Q131" s="73" t="str">
        <f aca="true">IF(OR(P131="Xong",P131="Bỏ"),"",IF(B131&lt;TODAY(),"Quá hạn",IF(B131=TODAY(),"Hôm nay","")))</f>
        <v/>
      </c>
      <c r="R131" s="79"/>
    </row>
    <row r="132" customFormat="false" ht="27.75" hidden="false" customHeight="true" outlineLevel="0" collapsed="false">
      <c r="A132" s="73" t="n">
        <v>129</v>
      </c>
      <c r="B132" s="74" t="n">
        <f aca="false">WORKDAY(Settings!$C$4-1,A132,Holidays!$A$5:$A$40)</f>
        <v>46504</v>
      </c>
      <c r="C132" s="73" t="s">
        <v>192</v>
      </c>
      <c r="D132" s="73" t="n">
        <f aca="false">INT((A132-1)/5)+1</f>
        <v>26</v>
      </c>
      <c r="E132" s="73" t="n">
        <f aca="false">MOD(A132-1,10)+1</f>
        <v>9</v>
      </c>
      <c r="F132" s="69" t="s">
        <v>146</v>
      </c>
      <c r="G132" s="73" t="s">
        <v>879</v>
      </c>
      <c r="H132" s="75" t="str">
        <f aca="false">IFERROR(INDEX(Roles!$D$5:$D$26,MATCH(G132,Roles!$A$5:$A$26,0)),"")</f>
        <v>medilens-sre-operations</v>
      </c>
      <c r="I132" s="24" t="s">
        <v>920</v>
      </c>
      <c r="J132" s="24" t="s">
        <v>921</v>
      </c>
      <c r="K132" s="24" t="s">
        <v>922</v>
      </c>
      <c r="L132" s="24" t="s">
        <v>923</v>
      </c>
      <c r="M132" s="73"/>
      <c r="N132" s="76" t="n">
        <f aca="false">Settings!$C$5</f>
        <v>4</v>
      </c>
      <c r="O132" s="77"/>
      <c r="P132" s="78" t="s">
        <v>74</v>
      </c>
      <c r="Q132" s="73" t="str">
        <f aca="true">IF(OR(P132="Xong",P132="Bỏ"),"",IF(B132&lt;TODAY(),"Quá hạn",IF(B132=TODAY(),"Hôm nay","")))</f>
        <v/>
      </c>
      <c r="R132" s="79"/>
    </row>
    <row r="133" customFormat="false" ht="27.75" hidden="false" customHeight="true" outlineLevel="0" collapsed="false">
      <c r="A133" s="73" t="n">
        <v>130</v>
      </c>
      <c r="B133" s="74" t="n">
        <f aca="false">WORKDAY(Settings!$C$4-1,A133,Holidays!$A$5:$A$40)</f>
        <v>46505</v>
      </c>
      <c r="C133" s="73" t="s">
        <v>192</v>
      </c>
      <c r="D133" s="73" t="n">
        <f aca="false">INT((A133-1)/5)+1</f>
        <v>26</v>
      </c>
      <c r="E133" s="73" t="n">
        <f aca="false">MOD(A133-1,10)+1</f>
        <v>10</v>
      </c>
      <c r="F133" s="69" t="s">
        <v>146</v>
      </c>
      <c r="G133" s="73" t="s">
        <v>477</v>
      </c>
      <c r="H133" s="75" t="str">
        <f aca="false">IFERROR(INDEX(Roles!$D$5:$D$26,MATCH(G133,Roles!$A$5:$A$26,0)),"")</f>
        <v>medilens-qc-release-gatekeeper</v>
      </c>
      <c r="I133" s="24" t="s">
        <v>924</v>
      </c>
      <c r="J133" s="24" t="s">
        <v>925</v>
      </c>
      <c r="K133" s="24" t="s">
        <v>926</v>
      </c>
      <c r="L133" s="24" t="s">
        <v>927</v>
      </c>
      <c r="M133" s="80" t="s">
        <v>292</v>
      </c>
      <c r="N133" s="76" t="n">
        <f aca="false">Settings!$C$5</f>
        <v>4</v>
      </c>
      <c r="O133" s="77"/>
      <c r="P133" s="78" t="s">
        <v>74</v>
      </c>
      <c r="Q133" s="73" t="str">
        <f aca="true">IF(OR(P133="Xong",P133="Bỏ"),"",IF(B133&lt;TODAY(),"Quá hạn",IF(B133=TODAY(),"Hôm nay","")))</f>
        <v/>
      </c>
      <c r="R133" s="79"/>
    </row>
    <row r="134" customFormat="false" ht="27.75" hidden="false" customHeight="true" outlineLevel="0" collapsed="false">
      <c r="A134" s="73" t="n">
        <v>131</v>
      </c>
      <c r="B134" s="74" t="n">
        <f aca="false">WORKDAY(Settings!$C$4-1,A134,Holidays!$A$5:$A$40)</f>
        <v>46506</v>
      </c>
      <c r="C134" s="73" t="s">
        <v>149</v>
      </c>
      <c r="D134" s="73" t="n">
        <f aca="false">INT((A134-1)/5)+1</f>
        <v>27</v>
      </c>
      <c r="E134" s="73" t="n">
        <f aca="false">MOD(A134-1,10)+1</f>
        <v>1</v>
      </c>
      <c r="F134" s="69" t="s">
        <v>146</v>
      </c>
      <c r="G134" s="73" t="s">
        <v>517</v>
      </c>
      <c r="H134" s="75" t="str">
        <f aca="false">IFERROR(INDEX(Roles!$D$5:$D$26,MATCH(G134,Roles!$A$5:$A$26,0)),"")</f>
        <v>medilens-security-engineer</v>
      </c>
      <c r="I134" s="24" t="s">
        <v>928</v>
      </c>
      <c r="J134" s="24" t="s">
        <v>929</v>
      </c>
      <c r="K134" s="24" t="s">
        <v>930</v>
      </c>
      <c r="L134" s="24" t="s">
        <v>931</v>
      </c>
      <c r="M134" s="73"/>
      <c r="N134" s="76" t="n">
        <f aca="false">Settings!$C$5</f>
        <v>4</v>
      </c>
      <c r="O134" s="77"/>
      <c r="P134" s="78" t="s">
        <v>74</v>
      </c>
      <c r="Q134" s="73" t="str">
        <f aca="true">IF(OR(P134="Xong",P134="Bỏ"),"",IF(B134&lt;TODAY(),"Quá hạn",IF(B134=TODAY(),"Hôm nay","")))</f>
        <v/>
      </c>
      <c r="R134" s="79"/>
    </row>
    <row r="135" customFormat="false" ht="31.5" hidden="false" customHeight="true" outlineLevel="0" collapsed="false">
      <c r="A135" s="73" t="n">
        <v>132</v>
      </c>
      <c r="B135" s="74" t="n">
        <f aca="false">WORKDAY(Settings!$C$4-1,A135,Holidays!$A$5:$A$40)</f>
        <v>46510</v>
      </c>
      <c r="C135" s="73" t="s">
        <v>149</v>
      </c>
      <c r="D135" s="73" t="n">
        <f aca="false">INT((A135-1)/5)+1</f>
        <v>27</v>
      </c>
      <c r="E135" s="73" t="n">
        <f aca="false">MOD(A135-1,10)+1</f>
        <v>2</v>
      </c>
      <c r="F135" s="69" t="s">
        <v>146</v>
      </c>
      <c r="G135" s="73" t="s">
        <v>517</v>
      </c>
      <c r="H135" s="75" t="str">
        <f aca="false">IFERROR(INDEX(Roles!$D$5:$D$26,MATCH(G135,Roles!$A$5:$A$26,0)),"")</f>
        <v>medilens-security-engineer</v>
      </c>
      <c r="I135" s="24" t="s">
        <v>932</v>
      </c>
      <c r="J135" s="24" t="s">
        <v>933</v>
      </c>
      <c r="K135" s="24" t="s">
        <v>934</v>
      </c>
      <c r="L135" s="24" t="s">
        <v>935</v>
      </c>
      <c r="M135" s="73"/>
      <c r="N135" s="76" t="n">
        <f aca="false">Settings!$C$5</f>
        <v>4</v>
      </c>
      <c r="O135" s="77"/>
      <c r="P135" s="78" t="s">
        <v>74</v>
      </c>
      <c r="Q135" s="73" t="str">
        <f aca="true">IF(OR(P135="Xong",P135="Bỏ"),"",IF(B135&lt;TODAY(),"Quá hạn",IF(B135=TODAY(),"Hôm nay","")))</f>
        <v/>
      </c>
      <c r="R135" s="79"/>
    </row>
    <row r="136" customFormat="false" ht="27.75" hidden="false" customHeight="true" outlineLevel="0" collapsed="false">
      <c r="A136" s="73" t="n">
        <v>133</v>
      </c>
      <c r="B136" s="74" t="n">
        <f aca="false">WORKDAY(Settings!$C$4-1,A136,Holidays!$A$5:$A$40)</f>
        <v>46511</v>
      </c>
      <c r="C136" s="73" t="s">
        <v>149</v>
      </c>
      <c r="D136" s="73" t="n">
        <f aca="false">INT((A136-1)/5)+1</f>
        <v>27</v>
      </c>
      <c r="E136" s="73" t="n">
        <f aca="false">MOD(A136-1,10)+1</f>
        <v>3</v>
      </c>
      <c r="F136" s="69" t="s">
        <v>146</v>
      </c>
      <c r="G136" s="73" t="s">
        <v>503</v>
      </c>
      <c r="H136" s="75" t="str">
        <f aca="false">IFERROR(INDEX(Roles!$D$5:$D$26,MATCH(G136,Roles!$A$5:$A$26,0)),"")</f>
        <v>medilens-backend-engineer</v>
      </c>
      <c r="I136" s="24" t="s">
        <v>936</v>
      </c>
      <c r="J136" s="24" t="s">
        <v>937</v>
      </c>
      <c r="K136" s="24" t="s">
        <v>938</v>
      </c>
      <c r="L136" s="24" t="s">
        <v>939</v>
      </c>
      <c r="M136" s="73"/>
      <c r="N136" s="76" t="n">
        <f aca="false">Settings!$C$5</f>
        <v>4</v>
      </c>
      <c r="O136" s="77"/>
      <c r="P136" s="78" t="s">
        <v>74</v>
      </c>
      <c r="Q136" s="73" t="str">
        <f aca="true">IF(OR(P136="Xong",P136="Bỏ"),"",IF(B136&lt;TODAY(),"Quá hạn",IF(B136=TODAY(),"Hôm nay","")))</f>
        <v/>
      </c>
      <c r="R136" s="79"/>
    </row>
    <row r="137" customFormat="false" ht="31.5" hidden="false" customHeight="true" outlineLevel="0" collapsed="false">
      <c r="A137" s="73" t="n">
        <v>134</v>
      </c>
      <c r="B137" s="74" t="n">
        <f aca="false">WORKDAY(Settings!$C$4-1,A137,Holidays!$A$5:$A$40)</f>
        <v>46512</v>
      </c>
      <c r="C137" s="73" t="s">
        <v>149</v>
      </c>
      <c r="D137" s="73" t="n">
        <f aca="false">INT((A137-1)/5)+1</f>
        <v>27</v>
      </c>
      <c r="E137" s="73" t="n">
        <f aca="false">MOD(A137-1,10)+1</f>
        <v>4</v>
      </c>
      <c r="F137" s="69" t="s">
        <v>146</v>
      </c>
      <c r="G137" s="73" t="s">
        <v>454</v>
      </c>
      <c r="H137" s="75" t="str">
        <f aca="false">IFERROR(INDEX(Roles!$D$5:$D$26,MATCH(G137,Roles!$A$5:$A$26,0)),"")</f>
        <v>medilens-ai-ml-engineer</v>
      </c>
      <c r="I137" s="24" t="s">
        <v>940</v>
      </c>
      <c r="J137" s="24" t="s">
        <v>941</v>
      </c>
      <c r="K137" s="24" t="s">
        <v>942</v>
      </c>
      <c r="L137" s="24" t="s">
        <v>943</v>
      </c>
      <c r="M137" s="73"/>
      <c r="N137" s="76" t="n">
        <f aca="false">Settings!$C$5</f>
        <v>4</v>
      </c>
      <c r="O137" s="77"/>
      <c r="P137" s="78" t="s">
        <v>74</v>
      </c>
      <c r="Q137" s="73" t="str">
        <f aca="true">IF(OR(P137="Xong",P137="Bỏ"),"",IF(B137&lt;TODAY(),"Quá hạn",IF(B137=TODAY(),"Hôm nay","")))</f>
        <v/>
      </c>
      <c r="R137" s="79"/>
    </row>
    <row r="138" customFormat="false" ht="27.75" hidden="false" customHeight="true" outlineLevel="0" collapsed="false">
      <c r="A138" s="73" t="n">
        <v>135</v>
      </c>
      <c r="B138" s="74" t="n">
        <f aca="false">WORKDAY(Settings!$C$4-1,A138,Holidays!$A$5:$A$40)</f>
        <v>46513</v>
      </c>
      <c r="C138" s="73" t="s">
        <v>149</v>
      </c>
      <c r="D138" s="73" t="n">
        <f aca="false">INT((A138-1)/5)+1</f>
        <v>27</v>
      </c>
      <c r="E138" s="73" t="n">
        <f aca="false">MOD(A138-1,10)+1</f>
        <v>5</v>
      </c>
      <c r="F138" s="69" t="s">
        <v>146</v>
      </c>
      <c r="G138" s="73" t="s">
        <v>563</v>
      </c>
      <c r="H138" s="75" t="str">
        <f aca="false">IFERROR(INDEX(Roles!$D$5:$D$26,MATCH(G138,Roles!$A$5:$A$26,0)),"")</f>
        <v>medilens-qa-engineer</v>
      </c>
      <c r="I138" s="24" t="s">
        <v>944</v>
      </c>
      <c r="J138" s="24" t="s">
        <v>945</v>
      </c>
      <c r="K138" s="24" t="s">
        <v>946</v>
      </c>
      <c r="L138" s="24" t="s">
        <v>947</v>
      </c>
      <c r="M138" s="73"/>
      <c r="N138" s="76" t="n">
        <f aca="false">Settings!$C$5</f>
        <v>4</v>
      </c>
      <c r="O138" s="77"/>
      <c r="P138" s="78" t="s">
        <v>74</v>
      </c>
      <c r="Q138" s="73" t="str">
        <f aca="true">IF(OR(P138="Xong",P138="Bỏ"),"",IF(B138&lt;TODAY(),"Quá hạn",IF(B138=TODAY(),"Hôm nay","")))</f>
        <v/>
      </c>
      <c r="R138" s="79"/>
    </row>
    <row r="139" customFormat="false" ht="27.75" hidden="false" customHeight="true" outlineLevel="0" collapsed="false">
      <c r="A139" s="73" t="n">
        <v>136</v>
      </c>
      <c r="B139" s="74" t="n">
        <f aca="false">WORKDAY(Settings!$C$4-1,A139,Holidays!$A$5:$A$40)</f>
        <v>46514</v>
      </c>
      <c r="C139" s="73" t="s">
        <v>149</v>
      </c>
      <c r="D139" s="73" t="n">
        <f aca="false">INT((A139-1)/5)+1</f>
        <v>28</v>
      </c>
      <c r="E139" s="73" t="n">
        <f aca="false">MOD(A139-1,10)+1</f>
        <v>6</v>
      </c>
      <c r="F139" s="69" t="s">
        <v>146</v>
      </c>
      <c r="G139" s="73" t="s">
        <v>643</v>
      </c>
      <c r="H139" s="75" t="str">
        <f aca="false">IFERROR(INDEX(Roles!$D$5:$D$26,MATCH(G139,Roles!$A$5:$A$26,0)),"")</f>
        <v>medilens-technical-writer</v>
      </c>
      <c r="I139" s="24" t="s">
        <v>948</v>
      </c>
      <c r="J139" s="24" t="s">
        <v>949</v>
      </c>
      <c r="K139" s="24" t="s">
        <v>950</v>
      </c>
      <c r="L139" s="24" t="s">
        <v>951</v>
      </c>
      <c r="M139" s="73"/>
      <c r="N139" s="76" t="n">
        <f aca="false">Settings!$C$5</f>
        <v>4</v>
      </c>
      <c r="O139" s="77"/>
      <c r="P139" s="78" t="s">
        <v>74</v>
      </c>
      <c r="Q139" s="73" t="str">
        <f aca="true">IF(OR(P139="Xong",P139="Bỏ"),"",IF(B139&lt;TODAY(),"Quá hạn",IF(B139=TODAY(),"Hôm nay","")))</f>
        <v/>
      </c>
      <c r="R139" s="79"/>
    </row>
    <row r="140" customFormat="false" ht="31.5" hidden="false" customHeight="true" outlineLevel="0" collapsed="false">
      <c r="A140" s="73" t="n">
        <v>137</v>
      </c>
      <c r="B140" s="74" t="n">
        <f aca="false">WORKDAY(Settings!$C$4-1,A140,Holidays!$A$5:$A$40)</f>
        <v>46517</v>
      </c>
      <c r="C140" s="73" t="s">
        <v>149</v>
      </c>
      <c r="D140" s="73" t="n">
        <f aca="false">INT((A140-1)/5)+1</f>
        <v>28</v>
      </c>
      <c r="E140" s="73" t="n">
        <f aca="false">MOD(A140-1,10)+1</f>
        <v>7</v>
      </c>
      <c r="F140" s="69" t="s">
        <v>146</v>
      </c>
      <c r="G140" s="73" t="s">
        <v>952</v>
      </c>
      <c r="H140" s="75" t="str">
        <f aca="false">IFERROR(INDEX(Roles!$D$5:$D$26,MATCH(G140,Roles!$A$5:$A$26,0)),"")</f>
        <v>medilens-support-success</v>
      </c>
      <c r="I140" s="24" t="s">
        <v>953</v>
      </c>
      <c r="J140" s="24" t="s">
        <v>954</v>
      </c>
      <c r="K140" s="24" t="s">
        <v>955</v>
      </c>
      <c r="L140" s="24" t="s">
        <v>956</v>
      </c>
      <c r="M140" s="73"/>
      <c r="N140" s="76" t="n">
        <f aca="false">Settings!$C$5</f>
        <v>4</v>
      </c>
      <c r="O140" s="77"/>
      <c r="P140" s="78" t="s">
        <v>74</v>
      </c>
      <c r="Q140" s="73" t="str">
        <f aca="true">IF(OR(P140="Xong",P140="Bỏ"),"",IF(B140&lt;TODAY(),"Quá hạn",IF(B140=TODAY(),"Hôm nay","")))</f>
        <v/>
      </c>
      <c r="R140" s="79"/>
    </row>
    <row r="141" customFormat="false" ht="27.75" hidden="false" customHeight="true" outlineLevel="0" collapsed="false">
      <c r="A141" s="73" t="n">
        <v>138</v>
      </c>
      <c r="B141" s="74" t="n">
        <f aca="false">WORKDAY(Settings!$C$4-1,A141,Holidays!$A$5:$A$40)</f>
        <v>46518</v>
      </c>
      <c r="C141" s="73" t="s">
        <v>149</v>
      </c>
      <c r="D141" s="73" t="n">
        <f aca="false">INT((A141-1)/5)+1</f>
        <v>28</v>
      </c>
      <c r="E141" s="73" t="n">
        <f aca="false">MOD(A141-1,10)+1</f>
        <v>8</v>
      </c>
      <c r="F141" s="69" t="s">
        <v>146</v>
      </c>
      <c r="G141" s="73" t="s">
        <v>486</v>
      </c>
      <c r="H141" s="75" t="str">
        <f aca="false">IFERROR(INDEX(Roles!$D$5:$D$26,MATCH(G141,Roles!$A$5:$A$26,0)),"")</f>
        <v>medilens-cloud-devops-engineer</v>
      </c>
      <c r="I141" s="24" t="s">
        <v>957</v>
      </c>
      <c r="J141" s="24" t="s">
        <v>958</v>
      </c>
      <c r="K141" s="24" t="s">
        <v>959</v>
      </c>
      <c r="L141" s="24" t="s">
        <v>960</v>
      </c>
      <c r="M141" s="73"/>
      <c r="N141" s="76" t="n">
        <f aca="false">Settings!$C$5</f>
        <v>4</v>
      </c>
      <c r="O141" s="77"/>
      <c r="P141" s="78" t="s">
        <v>74</v>
      </c>
      <c r="Q141" s="73" t="str">
        <f aca="true">IF(OR(P141="Xong",P141="Bỏ"),"",IF(B141&lt;TODAY(),"Quá hạn",IF(B141=TODAY(),"Hôm nay","")))</f>
        <v/>
      </c>
      <c r="R141" s="79"/>
    </row>
    <row r="142" customFormat="false" ht="27.75" hidden="false" customHeight="true" outlineLevel="0" collapsed="false">
      <c r="A142" s="73" t="n">
        <v>139</v>
      </c>
      <c r="B142" s="74" t="n">
        <f aca="false">WORKDAY(Settings!$C$4-1,A142,Holidays!$A$5:$A$40)</f>
        <v>46519</v>
      </c>
      <c r="C142" s="73" t="s">
        <v>149</v>
      </c>
      <c r="D142" s="73" t="n">
        <f aca="false">INT((A142-1)/5)+1</f>
        <v>28</v>
      </c>
      <c r="E142" s="73" t="n">
        <f aca="false">MOD(A142-1,10)+1</f>
        <v>9</v>
      </c>
      <c r="F142" s="69" t="s">
        <v>146</v>
      </c>
      <c r="G142" s="73" t="s">
        <v>477</v>
      </c>
      <c r="H142" s="75" t="str">
        <f aca="false">IFERROR(INDEX(Roles!$D$5:$D$26,MATCH(G142,Roles!$A$5:$A$26,0)),"")</f>
        <v>medilens-qc-release-gatekeeper</v>
      </c>
      <c r="I142" s="24" t="s">
        <v>961</v>
      </c>
      <c r="J142" s="24" t="s">
        <v>962</v>
      </c>
      <c r="K142" s="24" t="s">
        <v>963</v>
      </c>
      <c r="L142" s="24" t="s">
        <v>964</v>
      </c>
      <c r="M142" s="73"/>
      <c r="N142" s="76" t="n">
        <f aca="false">Settings!$C$5</f>
        <v>4</v>
      </c>
      <c r="O142" s="77"/>
      <c r="P142" s="78" t="s">
        <v>74</v>
      </c>
      <c r="Q142" s="73" t="str">
        <f aca="true">IF(OR(P142="Xong",P142="Bỏ"),"",IF(B142&lt;TODAY(),"Quá hạn",IF(B142=TODAY(),"Hôm nay","")))</f>
        <v/>
      </c>
      <c r="R142" s="79"/>
    </row>
    <row r="143" customFormat="false" ht="27.75" hidden="false" customHeight="true" outlineLevel="0" collapsed="false">
      <c r="A143" s="73" t="n">
        <v>140</v>
      </c>
      <c r="B143" s="74" t="n">
        <f aca="false">WORKDAY(Settings!$C$4-1,A143,Holidays!$A$5:$A$40)</f>
        <v>46520</v>
      </c>
      <c r="C143" s="73" t="s">
        <v>149</v>
      </c>
      <c r="D143" s="73" t="n">
        <f aca="false">INT((A143-1)/5)+1</f>
        <v>28</v>
      </c>
      <c r="E143" s="73" t="n">
        <f aca="false">MOD(A143-1,10)+1</f>
        <v>10</v>
      </c>
      <c r="F143" s="69" t="s">
        <v>146</v>
      </c>
      <c r="G143" s="73" t="s">
        <v>477</v>
      </c>
      <c r="H143" s="75" t="str">
        <f aca="false">IFERROR(INDEX(Roles!$D$5:$D$26,MATCH(G143,Roles!$A$5:$A$26,0)),"")</f>
        <v>medilens-qc-release-gatekeeper</v>
      </c>
      <c r="I143" s="24" t="s">
        <v>965</v>
      </c>
      <c r="J143" s="24" t="s">
        <v>966</v>
      </c>
      <c r="K143" s="24" t="s">
        <v>967</v>
      </c>
      <c r="L143" s="24" t="s">
        <v>968</v>
      </c>
      <c r="M143" s="80" t="s">
        <v>299</v>
      </c>
      <c r="N143" s="76" t="n">
        <f aca="false">Settings!$C$5</f>
        <v>4</v>
      </c>
      <c r="O143" s="77"/>
      <c r="P143" s="78" t="s">
        <v>74</v>
      </c>
      <c r="Q143" s="73" t="str">
        <f aca="true">IF(OR(P143="Xong",P143="Bỏ"),"",IF(B143&lt;TODAY(),"Quá hạn",IF(B143=TODAY(),"Hôm nay","")))</f>
        <v/>
      </c>
      <c r="R143" s="79"/>
    </row>
    <row r="144" customFormat="false" ht="31.5" hidden="false" customHeight="true" outlineLevel="0" collapsed="false">
      <c r="A144" s="73" t="n">
        <v>141</v>
      </c>
      <c r="B144" s="74" t="n">
        <f aca="false">WORKDAY(Settings!$C$4-1,A144,Holidays!$A$5:$A$40)</f>
        <v>46521</v>
      </c>
      <c r="C144" s="73" t="s">
        <v>156</v>
      </c>
      <c r="D144" s="73" t="n">
        <f aca="false">INT((A144-1)/5)+1</f>
        <v>29</v>
      </c>
      <c r="E144" s="73" t="n">
        <f aca="false">MOD(A144-1,10)+1</f>
        <v>1</v>
      </c>
      <c r="F144" s="70" t="s">
        <v>154</v>
      </c>
      <c r="G144" s="73" t="s">
        <v>393</v>
      </c>
      <c r="H144" s="75" t="str">
        <f aca="false">IFERROR(INDEX(Roles!$D$5:$D$26,MATCH(G144,Roles!$A$5:$A$26,0)),"")</f>
        <v>medilens-product-manager</v>
      </c>
      <c r="I144" s="24" t="s">
        <v>969</v>
      </c>
      <c r="J144" s="24" t="s">
        <v>970</v>
      </c>
      <c r="K144" s="24" t="s">
        <v>971</v>
      </c>
      <c r="L144" s="24" t="s">
        <v>972</v>
      </c>
      <c r="M144" s="73"/>
      <c r="N144" s="76" t="n">
        <f aca="false">Settings!$C$5</f>
        <v>4</v>
      </c>
      <c r="O144" s="77"/>
      <c r="P144" s="78" t="s">
        <v>74</v>
      </c>
      <c r="Q144" s="73" t="str">
        <f aca="true">IF(OR(P144="Xong",P144="Bỏ"),"",IF(B144&lt;TODAY(),"Quá hạn",IF(B144=TODAY(),"Hôm nay","")))</f>
        <v/>
      </c>
      <c r="R144" s="79"/>
    </row>
    <row r="145" customFormat="false" ht="27.75" hidden="false" customHeight="true" outlineLevel="0" collapsed="false">
      <c r="A145" s="73" t="n">
        <v>142</v>
      </c>
      <c r="B145" s="74" t="n">
        <f aca="false">WORKDAY(Settings!$C$4-1,A145,Holidays!$A$5:$A$40)</f>
        <v>46524</v>
      </c>
      <c r="C145" s="73" t="s">
        <v>156</v>
      </c>
      <c r="D145" s="73" t="n">
        <f aca="false">INT((A145-1)/5)+1</f>
        <v>29</v>
      </c>
      <c r="E145" s="73" t="n">
        <f aca="false">MOD(A145-1,10)+1</f>
        <v>2</v>
      </c>
      <c r="F145" s="70" t="s">
        <v>154</v>
      </c>
      <c r="G145" s="73" t="s">
        <v>486</v>
      </c>
      <c r="H145" s="75" t="str">
        <f aca="false">IFERROR(INDEX(Roles!$D$5:$D$26,MATCH(G145,Roles!$A$5:$A$26,0)),"")</f>
        <v>medilens-cloud-devops-engineer</v>
      </c>
      <c r="I145" s="24" t="s">
        <v>973</v>
      </c>
      <c r="J145" s="24" t="s">
        <v>974</v>
      </c>
      <c r="K145" s="24" t="s">
        <v>975</v>
      </c>
      <c r="L145" s="24" t="s">
        <v>976</v>
      </c>
      <c r="M145" s="73"/>
      <c r="N145" s="76" t="n">
        <f aca="false">Settings!$C$5</f>
        <v>4</v>
      </c>
      <c r="O145" s="77"/>
      <c r="P145" s="78" t="s">
        <v>74</v>
      </c>
      <c r="Q145" s="73" t="str">
        <f aca="true">IF(OR(P145="Xong",P145="Bỏ"),"",IF(B145&lt;TODAY(),"Quá hạn",IF(B145=TODAY(),"Hôm nay","")))</f>
        <v/>
      </c>
      <c r="R145" s="79"/>
    </row>
    <row r="146" customFormat="false" ht="31.5" hidden="false" customHeight="true" outlineLevel="0" collapsed="false">
      <c r="A146" s="73" t="n">
        <v>143</v>
      </c>
      <c r="B146" s="74" t="n">
        <f aca="false">WORKDAY(Settings!$C$4-1,A146,Holidays!$A$5:$A$40)</f>
        <v>46525</v>
      </c>
      <c r="C146" s="73" t="s">
        <v>156</v>
      </c>
      <c r="D146" s="73" t="n">
        <f aca="false">INT((A146-1)/5)+1</f>
        <v>29</v>
      </c>
      <c r="E146" s="73" t="n">
        <f aca="false">MOD(A146-1,10)+1</f>
        <v>3</v>
      </c>
      <c r="F146" s="70" t="s">
        <v>154</v>
      </c>
      <c r="G146" s="73" t="s">
        <v>952</v>
      </c>
      <c r="H146" s="75" t="str">
        <f aca="false">IFERROR(INDEX(Roles!$D$5:$D$26,MATCH(G146,Roles!$A$5:$A$26,0)),"")</f>
        <v>medilens-support-success</v>
      </c>
      <c r="I146" s="24" t="s">
        <v>977</v>
      </c>
      <c r="J146" s="24" t="s">
        <v>978</v>
      </c>
      <c r="K146" s="24" t="s">
        <v>979</v>
      </c>
      <c r="L146" s="24" t="s">
        <v>980</v>
      </c>
      <c r="M146" s="73"/>
      <c r="N146" s="76" t="n">
        <f aca="false">Settings!$C$5</f>
        <v>4</v>
      </c>
      <c r="O146" s="77"/>
      <c r="P146" s="78" t="s">
        <v>74</v>
      </c>
      <c r="Q146" s="73" t="str">
        <f aca="true">IF(OR(P146="Xong",P146="Bỏ"),"",IF(B146&lt;TODAY(),"Quá hạn",IF(B146=TODAY(),"Hôm nay","")))</f>
        <v/>
      </c>
      <c r="R146" s="79"/>
    </row>
    <row r="147" customFormat="false" ht="27.75" hidden="false" customHeight="true" outlineLevel="0" collapsed="false">
      <c r="A147" s="73" t="n">
        <v>144</v>
      </c>
      <c r="B147" s="74" t="n">
        <f aca="false">WORKDAY(Settings!$C$4-1,A147,Holidays!$A$5:$A$40)</f>
        <v>46526</v>
      </c>
      <c r="C147" s="73" t="s">
        <v>156</v>
      </c>
      <c r="D147" s="73" t="n">
        <f aca="false">INT((A147-1)/5)+1</f>
        <v>29</v>
      </c>
      <c r="E147" s="73" t="n">
        <f aca="false">MOD(A147-1,10)+1</f>
        <v>4</v>
      </c>
      <c r="F147" s="70" t="s">
        <v>154</v>
      </c>
      <c r="G147" s="73" t="s">
        <v>879</v>
      </c>
      <c r="H147" s="75" t="str">
        <f aca="false">IFERROR(INDEX(Roles!$D$5:$D$26,MATCH(G147,Roles!$A$5:$A$26,0)),"")</f>
        <v>medilens-sre-operations</v>
      </c>
      <c r="I147" s="24" t="s">
        <v>981</v>
      </c>
      <c r="J147" s="24" t="s">
        <v>982</v>
      </c>
      <c r="K147" s="24" t="s">
        <v>983</v>
      </c>
      <c r="L147" s="24" t="s">
        <v>984</v>
      </c>
      <c r="M147" s="73"/>
      <c r="N147" s="76" t="n">
        <f aca="false">Settings!$C$5</f>
        <v>4</v>
      </c>
      <c r="O147" s="77"/>
      <c r="P147" s="78" t="s">
        <v>74</v>
      </c>
      <c r="Q147" s="73" t="str">
        <f aca="true">IF(OR(P147="Xong",P147="Bỏ"),"",IF(B147&lt;TODAY(),"Quá hạn",IF(B147=TODAY(),"Hôm nay","")))</f>
        <v/>
      </c>
      <c r="R147" s="79"/>
    </row>
    <row r="148" customFormat="false" ht="27.75" hidden="false" customHeight="true" outlineLevel="0" collapsed="false">
      <c r="A148" s="73" t="n">
        <v>145</v>
      </c>
      <c r="B148" s="74" t="n">
        <f aca="false">WORKDAY(Settings!$C$4-1,A148,Holidays!$A$5:$A$40)</f>
        <v>46527</v>
      </c>
      <c r="C148" s="73" t="s">
        <v>156</v>
      </c>
      <c r="D148" s="73" t="n">
        <f aca="false">INT((A148-1)/5)+1</f>
        <v>29</v>
      </c>
      <c r="E148" s="73" t="n">
        <f aca="false">MOD(A148-1,10)+1</f>
        <v>5</v>
      </c>
      <c r="F148" s="70" t="s">
        <v>154</v>
      </c>
      <c r="G148" s="73" t="s">
        <v>411</v>
      </c>
      <c r="H148" s="75" t="str">
        <f aca="false">IFERROR(INDEX(Roles!$D$5:$D$26,MATCH(G148,Roles!$A$5:$A$26,0)),"")</f>
        <v>medilens-business-analyst</v>
      </c>
      <c r="I148" s="24" t="s">
        <v>985</v>
      </c>
      <c r="J148" s="24" t="s">
        <v>986</v>
      </c>
      <c r="K148" s="24" t="s">
        <v>987</v>
      </c>
      <c r="L148" s="24" t="s">
        <v>988</v>
      </c>
      <c r="M148" s="73"/>
      <c r="N148" s="76" t="n">
        <f aca="false">Settings!$C$5</f>
        <v>4</v>
      </c>
      <c r="O148" s="77"/>
      <c r="P148" s="78" t="s">
        <v>74</v>
      </c>
      <c r="Q148" s="73" t="str">
        <f aca="true">IF(OR(P148="Xong",P148="Bỏ"),"",IF(B148&lt;TODAY(),"Quá hạn",IF(B148=TODAY(),"Hôm nay","")))</f>
        <v/>
      </c>
      <c r="R148" s="79"/>
    </row>
    <row r="149" customFormat="false" ht="27.75" hidden="false" customHeight="true" outlineLevel="0" collapsed="false">
      <c r="A149" s="73" t="n">
        <v>146</v>
      </c>
      <c r="B149" s="74" t="n">
        <f aca="false">WORKDAY(Settings!$C$4-1,A149,Holidays!$A$5:$A$40)</f>
        <v>46528</v>
      </c>
      <c r="C149" s="73" t="s">
        <v>156</v>
      </c>
      <c r="D149" s="73" t="n">
        <f aca="false">INT((A149-1)/5)+1</f>
        <v>30</v>
      </c>
      <c r="E149" s="73" t="n">
        <f aca="false">MOD(A149-1,10)+1</f>
        <v>6</v>
      </c>
      <c r="F149" s="70" t="s">
        <v>154</v>
      </c>
      <c r="G149" s="73" t="s">
        <v>503</v>
      </c>
      <c r="H149" s="75" t="str">
        <f aca="false">IFERROR(INDEX(Roles!$D$5:$D$26,MATCH(G149,Roles!$A$5:$A$26,0)),"")</f>
        <v>medilens-backend-engineer</v>
      </c>
      <c r="I149" s="24" t="s">
        <v>989</v>
      </c>
      <c r="J149" s="24" t="s">
        <v>990</v>
      </c>
      <c r="K149" s="24" t="s">
        <v>938</v>
      </c>
      <c r="L149" s="24" t="s">
        <v>991</v>
      </c>
      <c r="M149" s="73"/>
      <c r="N149" s="76" t="n">
        <f aca="false">Settings!$C$5</f>
        <v>4</v>
      </c>
      <c r="O149" s="77"/>
      <c r="P149" s="78" t="s">
        <v>74</v>
      </c>
      <c r="Q149" s="73" t="str">
        <f aca="true">IF(OR(P149="Xong",P149="Bỏ"),"",IF(B149&lt;TODAY(),"Quá hạn",IF(B149=TODAY(),"Hôm nay","")))</f>
        <v/>
      </c>
      <c r="R149" s="79"/>
    </row>
    <row r="150" customFormat="false" ht="27.75" hidden="false" customHeight="true" outlineLevel="0" collapsed="false">
      <c r="A150" s="73" t="n">
        <v>147</v>
      </c>
      <c r="B150" s="74" t="n">
        <f aca="false">WORKDAY(Settings!$C$4-1,A150,Holidays!$A$5:$A$40)</f>
        <v>46531</v>
      </c>
      <c r="C150" s="73" t="s">
        <v>156</v>
      </c>
      <c r="D150" s="73" t="n">
        <f aca="false">INT((A150-1)/5)+1</f>
        <v>30</v>
      </c>
      <c r="E150" s="73" t="n">
        <f aca="false">MOD(A150-1,10)+1</f>
        <v>7</v>
      </c>
      <c r="F150" s="70" t="s">
        <v>154</v>
      </c>
      <c r="G150" s="73" t="s">
        <v>454</v>
      </c>
      <c r="H150" s="75" t="str">
        <f aca="false">IFERROR(INDEX(Roles!$D$5:$D$26,MATCH(G150,Roles!$A$5:$A$26,0)),"")</f>
        <v>medilens-ai-ml-engineer</v>
      </c>
      <c r="I150" s="24" t="s">
        <v>992</v>
      </c>
      <c r="J150" s="24" t="s">
        <v>993</v>
      </c>
      <c r="K150" s="24" t="s">
        <v>994</v>
      </c>
      <c r="L150" s="24" t="s">
        <v>995</v>
      </c>
      <c r="M150" s="73"/>
      <c r="N150" s="76" t="n">
        <f aca="false">Settings!$C$5</f>
        <v>4</v>
      </c>
      <c r="O150" s="77"/>
      <c r="P150" s="78" t="s">
        <v>74</v>
      </c>
      <c r="Q150" s="73" t="str">
        <f aca="true">IF(OR(P150="Xong",P150="Bỏ"),"",IF(B150&lt;TODAY(),"Quá hạn",IF(B150=TODAY(),"Hôm nay","")))</f>
        <v/>
      </c>
      <c r="R150" s="79"/>
    </row>
    <row r="151" customFormat="false" ht="27.75" hidden="false" customHeight="true" outlineLevel="0" collapsed="false">
      <c r="A151" s="73" t="n">
        <v>148</v>
      </c>
      <c r="B151" s="74" t="n">
        <f aca="false">WORKDAY(Settings!$C$4-1,A151,Holidays!$A$5:$A$40)</f>
        <v>46532</v>
      </c>
      <c r="C151" s="73" t="s">
        <v>156</v>
      </c>
      <c r="D151" s="73" t="n">
        <f aca="false">INT((A151-1)/5)+1</f>
        <v>30</v>
      </c>
      <c r="E151" s="73" t="n">
        <f aca="false">MOD(A151-1,10)+1</f>
        <v>8</v>
      </c>
      <c r="F151" s="70" t="s">
        <v>154</v>
      </c>
      <c r="G151" s="73" t="s">
        <v>429</v>
      </c>
      <c r="H151" s="75" t="str">
        <f aca="false">IFERROR(INDEX(Roles!$D$5:$D$26,MATCH(G151,Roles!$A$5:$A$26,0)),"")</f>
        <v>medilens-clinical-safety-officer</v>
      </c>
      <c r="I151" s="24" t="s">
        <v>996</v>
      </c>
      <c r="J151" s="24" t="s">
        <v>997</v>
      </c>
      <c r="K151" s="24" t="s">
        <v>682</v>
      </c>
      <c r="L151" s="24" t="s">
        <v>998</v>
      </c>
      <c r="M151" s="73"/>
      <c r="N151" s="76" t="n">
        <f aca="false">Settings!$C$5</f>
        <v>4</v>
      </c>
      <c r="O151" s="77"/>
      <c r="P151" s="78" t="s">
        <v>74</v>
      </c>
      <c r="Q151" s="73" t="str">
        <f aca="true">IF(OR(P151="Xong",P151="Bỏ"),"",IF(B151&lt;TODAY(),"Quá hạn",IF(B151=TODAY(),"Hôm nay","")))</f>
        <v/>
      </c>
      <c r="R151" s="79"/>
    </row>
    <row r="152" customFormat="false" ht="27.75" hidden="false" customHeight="true" outlineLevel="0" collapsed="false">
      <c r="A152" s="73" t="n">
        <v>149</v>
      </c>
      <c r="B152" s="74" t="n">
        <f aca="false">WORKDAY(Settings!$C$4-1,A152,Holidays!$A$5:$A$40)</f>
        <v>46533</v>
      </c>
      <c r="C152" s="73" t="s">
        <v>156</v>
      </c>
      <c r="D152" s="73" t="n">
        <f aca="false">INT((A152-1)/5)+1</f>
        <v>30</v>
      </c>
      <c r="E152" s="73" t="n">
        <f aca="false">MOD(A152-1,10)+1</f>
        <v>9</v>
      </c>
      <c r="F152" s="70" t="s">
        <v>154</v>
      </c>
      <c r="G152" s="73" t="s">
        <v>558</v>
      </c>
      <c r="H152" s="75" t="str">
        <f aca="false">IFERROR(INDEX(Roles!$D$5:$D$26,MATCH(G152,Roles!$A$5:$A$26,0)),"")</f>
        <v>medilens-data-engineer</v>
      </c>
      <c r="I152" s="24" t="s">
        <v>999</v>
      </c>
      <c r="J152" s="24" t="s">
        <v>1000</v>
      </c>
      <c r="K152" s="24" t="s">
        <v>1001</v>
      </c>
      <c r="L152" s="24" t="s">
        <v>1002</v>
      </c>
      <c r="M152" s="73"/>
      <c r="N152" s="76" t="n">
        <f aca="false">Settings!$C$5</f>
        <v>4</v>
      </c>
      <c r="O152" s="77"/>
      <c r="P152" s="78" t="s">
        <v>74</v>
      </c>
      <c r="Q152" s="73" t="str">
        <f aca="true">IF(OR(P152="Xong",P152="Bỏ"),"",IF(B152&lt;TODAY(),"Quá hạn",IF(B152=TODAY(),"Hôm nay","")))</f>
        <v/>
      </c>
      <c r="R152" s="79"/>
    </row>
    <row r="153" customFormat="false" ht="27.75" hidden="false" customHeight="true" outlineLevel="0" collapsed="false">
      <c r="A153" s="73" t="n">
        <v>150</v>
      </c>
      <c r="B153" s="74" t="n">
        <f aca="false">WORKDAY(Settings!$C$4-1,A153,Holidays!$A$5:$A$40)</f>
        <v>46534</v>
      </c>
      <c r="C153" s="73" t="s">
        <v>156</v>
      </c>
      <c r="D153" s="73" t="n">
        <f aca="false">INT((A153-1)/5)+1</f>
        <v>30</v>
      </c>
      <c r="E153" s="73" t="n">
        <f aca="false">MOD(A153-1,10)+1</f>
        <v>10</v>
      </c>
      <c r="F153" s="70" t="s">
        <v>154</v>
      </c>
      <c r="G153" s="73" t="s">
        <v>393</v>
      </c>
      <c r="H153" s="75" t="str">
        <f aca="false">IFERROR(INDEX(Roles!$D$5:$D$26,MATCH(G153,Roles!$A$5:$A$26,0)),"")</f>
        <v>medilens-product-manager</v>
      </c>
      <c r="I153" s="24" t="s">
        <v>1003</v>
      </c>
      <c r="J153" s="24" t="s">
        <v>1004</v>
      </c>
      <c r="K153" s="24" t="s">
        <v>1005</v>
      </c>
      <c r="L153" s="24" t="s">
        <v>1006</v>
      </c>
      <c r="M153" s="73"/>
      <c r="N153" s="76" t="n">
        <f aca="false">Settings!$C$5</f>
        <v>4</v>
      </c>
      <c r="O153" s="77"/>
      <c r="P153" s="78" t="s">
        <v>74</v>
      </c>
      <c r="Q153" s="73" t="str">
        <f aca="true">IF(OR(P153="Xong",P153="Bỏ"),"",IF(B153&lt;TODAY(),"Quá hạn",IF(B153=TODAY(),"Hôm nay","")))</f>
        <v/>
      </c>
      <c r="R153" s="79"/>
    </row>
    <row r="154" customFormat="false" ht="27.75" hidden="false" customHeight="true" outlineLevel="0" collapsed="false">
      <c r="A154" s="73" t="n">
        <v>151</v>
      </c>
      <c r="B154" s="74" t="n">
        <f aca="false">WORKDAY(Settings!$C$4-1,A154,Holidays!$A$5:$A$40)</f>
        <v>46535</v>
      </c>
      <c r="C154" s="73" t="s">
        <v>157</v>
      </c>
      <c r="D154" s="73" t="n">
        <f aca="false">INT((A154-1)/5)+1</f>
        <v>31</v>
      </c>
      <c r="E154" s="73" t="n">
        <f aca="false">MOD(A154-1,10)+1</f>
        <v>1</v>
      </c>
      <c r="F154" s="70" t="s">
        <v>154</v>
      </c>
      <c r="G154" s="73" t="s">
        <v>393</v>
      </c>
      <c r="H154" s="75" t="str">
        <f aca="false">IFERROR(INDEX(Roles!$D$5:$D$26,MATCH(G154,Roles!$A$5:$A$26,0)),"")</f>
        <v>medilens-product-manager</v>
      </c>
      <c r="I154" s="24" t="s">
        <v>1007</v>
      </c>
      <c r="J154" s="24" t="s">
        <v>1008</v>
      </c>
      <c r="K154" s="24" t="s">
        <v>1009</v>
      </c>
      <c r="L154" s="24" t="s">
        <v>1010</v>
      </c>
      <c r="M154" s="73"/>
      <c r="N154" s="76" t="n">
        <f aca="false">Settings!$C$5</f>
        <v>4</v>
      </c>
      <c r="O154" s="77"/>
      <c r="P154" s="78" t="s">
        <v>74</v>
      </c>
      <c r="Q154" s="73" t="str">
        <f aca="true">IF(OR(P154="Xong",P154="Bỏ"),"",IF(B154&lt;TODAY(),"Quá hạn",IF(B154=TODAY(),"Hôm nay","")))</f>
        <v/>
      </c>
      <c r="R154" s="79"/>
    </row>
    <row r="155" customFormat="false" ht="27.75" hidden="false" customHeight="true" outlineLevel="0" collapsed="false">
      <c r="A155" s="73" t="n">
        <v>152</v>
      </c>
      <c r="B155" s="74" t="n">
        <f aca="false">WORKDAY(Settings!$C$4-1,A155,Holidays!$A$5:$A$40)</f>
        <v>46538</v>
      </c>
      <c r="C155" s="73" t="s">
        <v>157</v>
      </c>
      <c r="D155" s="73" t="n">
        <f aca="false">INT((A155-1)/5)+1</f>
        <v>31</v>
      </c>
      <c r="E155" s="73" t="n">
        <f aca="false">MOD(A155-1,10)+1</f>
        <v>2</v>
      </c>
      <c r="F155" s="70" t="s">
        <v>154</v>
      </c>
      <c r="G155" s="73" t="s">
        <v>563</v>
      </c>
      <c r="H155" s="75" t="str">
        <f aca="false">IFERROR(INDEX(Roles!$D$5:$D$26,MATCH(G155,Roles!$A$5:$A$26,0)),"")</f>
        <v>medilens-qa-engineer</v>
      </c>
      <c r="I155" s="24" t="s">
        <v>1011</v>
      </c>
      <c r="J155" s="24" t="s">
        <v>1012</v>
      </c>
      <c r="K155" s="24" t="s">
        <v>1013</v>
      </c>
      <c r="L155" s="24" t="s">
        <v>1014</v>
      </c>
      <c r="M155" s="73"/>
      <c r="N155" s="76" t="n">
        <f aca="false">Settings!$C$5</f>
        <v>4</v>
      </c>
      <c r="O155" s="77"/>
      <c r="P155" s="78" t="s">
        <v>74</v>
      </c>
      <c r="Q155" s="73" t="str">
        <f aca="true">IF(OR(P155="Xong",P155="Bỏ"),"",IF(B155&lt;TODAY(),"Quá hạn",IF(B155=TODAY(),"Hôm nay","")))</f>
        <v/>
      </c>
      <c r="R155" s="79"/>
    </row>
    <row r="156" customFormat="false" ht="27.75" hidden="false" customHeight="true" outlineLevel="0" collapsed="false">
      <c r="A156" s="73" t="n">
        <v>153</v>
      </c>
      <c r="B156" s="74" t="n">
        <f aca="false">WORKDAY(Settings!$C$4-1,A156,Holidays!$A$5:$A$40)</f>
        <v>46539</v>
      </c>
      <c r="C156" s="73" t="s">
        <v>157</v>
      </c>
      <c r="D156" s="73" t="n">
        <f aca="false">INT((A156-1)/5)+1</f>
        <v>31</v>
      </c>
      <c r="E156" s="73" t="n">
        <f aca="false">MOD(A156-1,10)+1</f>
        <v>3</v>
      </c>
      <c r="F156" s="70" t="s">
        <v>154</v>
      </c>
      <c r="G156" s="73" t="s">
        <v>643</v>
      </c>
      <c r="H156" s="75" t="str">
        <f aca="false">IFERROR(INDEX(Roles!$D$5:$D$26,MATCH(G156,Roles!$A$5:$A$26,0)),"")</f>
        <v>medilens-technical-writer</v>
      </c>
      <c r="I156" s="24" t="s">
        <v>1015</v>
      </c>
      <c r="J156" s="24" t="s">
        <v>1016</v>
      </c>
      <c r="K156" s="24" t="s">
        <v>1017</v>
      </c>
      <c r="L156" s="24" t="s">
        <v>1018</v>
      </c>
      <c r="M156" s="73"/>
      <c r="N156" s="76" t="n">
        <f aca="false">Settings!$C$5</f>
        <v>4</v>
      </c>
      <c r="O156" s="77"/>
      <c r="P156" s="78" t="s">
        <v>74</v>
      </c>
      <c r="Q156" s="73" t="str">
        <f aca="true">IF(OR(P156="Xong",P156="Bỏ"),"",IF(B156&lt;TODAY(),"Quá hạn",IF(B156=TODAY(),"Hôm nay","")))</f>
        <v/>
      </c>
      <c r="R156" s="79"/>
    </row>
    <row r="157" customFormat="false" ht="27.75" hidden="false" customHeight="true" outlineLevel="0" collapsed="false">
      <c r="A157" s="73" t="n">
        <v>154</v>
      </c>
      <c r="B157" s="74" t="n">
        <f aca="false">WORKDAY(Settings!$C$4-1,A157,Holidays!$A$5:$A$40)</f>
        <v>46540</v>
      </c>
      <c r="C157" s="73" t="s">
        <v>157</v>
      </c>
      <c r="D157" s="73" t="n">
        <f aca="false">INT((A157-1)/5)+1</f>
        <v>31</v>
      </c>
      <c r="E157" s="73" t="n">
        <f aca="false">MOD(A157-1,10)+1</f>
        <v>4</v>
      </c>
      <c r="F157" s="70" t="s">
        <v>154</v>
      </c>
      <c r="G157" s="73" t="s">
        <v>477</v>
      </c>
      <c r="H157" s="75" t="str">
        <f aca="false">IFERROR(INDEX(Roles!$D$5:$D$26,MATCH(G157,Roles!$A$5:$A$26,0)),"")</f>
        <v>medilens-qc-release-gatekeeper</v>
      </c>
      <c r="I157" s="24" t="s">
        <v>1019</v>
      </c>
      <c r="J157" s="24" t="s">
        <v>1020</v>
      </c>
      <c r="K157" s="24" t="s">
        <v>1021</v>
      </c>
      <c r="L157" s="24" t="s">
        <v>1022</v>
      </c>
      <c r="M157" s="73"/>
      <c r="N157" s="76" t="n">
        <f aca="false">Settings!$C$5</f>
        <v>4</v>
      </c>
      <c r="O157" s="77"/>
      <c r="P157" s="78" t="s">
        <v>74</v>
      </c>
      <c r="Q157" s="73" t="str">
        <f aca="true">IF(OR(P157="Xong",P157="Bỏ"),"",IF(B157&lt;TODAY(),"Quá hạn",IF(B157=TODAY(),"Hôm nay","")))</f>
        <v/>
      </c>
      <c r="R157" s="79"/>
    </row>
    <row r="158" customFormat="false" ht="27.75" hidden="false" customHeight="true" outlineLevel="0" collapsed="false">
      <c r="A158" s="73" t="n">
        <v>155</v>
      </c>
      <c r="B158" s="74" t="n">
        <f aca="false">WORKDAY(Settings!$C$4-1,A158,Holidays!$A$5:$A$40)</f>
        <v>46541</v>
      </c>
      <c r="C158" s="73" t="s">
        <v>157</v>
      </c>
      <c r="D158" s="73" t="n">
        <f aca="false">INT((A158-1)/5)+1</f>
        <v>31</v>
      </c>
      <c r="E158" s="73" t="n">
        <f aca="false">MOD(A158-1,10)+1</f>
        <v>5</v>
      </c>
      <c r="F158" s="70" t="s">
        <v>154</v>
      </c>
      <c r="G158" s="73" t="s">
        <v>486</v>
      </c>
      <c r="H158" s="75" t="str">
        <f aca="false">IFERROR(INDEX(Roles!$D$5:$D$26,MATCH(G158,Roles!$A$5:$A$26,0)),"")</f>
        <v>medilens-cloud-devops-engineer</v>
      </c>
      <c r="I158" s="24" t="s">
        <v>1023</v>
      </c>
      <c r="J158" s="24" t="s">
        <v>1024</v>
      </c>
      <c r="K158" s="24" t="s">
        <v>1025</v>
      </c>
      <c r="L158" s="24" t="s">
        <v>1026</v>
      </c>
      <c r="M158" s="73"/>
      <c r="N158" s="76" t="n">
        <f aca="false">Settings!$C$5</f>
        <v>4</v>
      </c>
      <c r="O158" s="77"/>
      <c r="P158" s="78" t="s">
        <v>74</v>
      </c>
      <c r="Q158" s="73" t="str">
        <f aca="true">IF(OR(P158="Xong",P158="Bỏ"),"",IF(B158&lt;TODAY(),"Quá hạn",IF(B158=TODAY(),"Hôm nay","")))</f>
        <v/>
      </c>
      <c r="R158" s="79"/>
    </row>
    <row r="159" customFormat="false" ht="27.75" hidden="false" customHeight="true" outlineLevel="0" collapsed="false">
      <c r="A159" s="73" t="n">
        <v>156</v>
      </c>
      <c r="B159" s="74" t="n">
        <f aca="false">WORKDAY(Settings!$C$4-1,A159,Holidays!$A$5:$A$40)</f>
        <v>46542</v>
      </c>
      <c r="C159" s="73" t="s">
        <v>157</v>
      </c>
      <c r="D159" s="73" t="n">
        <f aca="false">INT((A159-1)/5)+1</f>
        <v>32</v>
      </c>
      <c r="E159" s="73" t="n">
        <f aca="false">MOD(A159-1,10)+1</f>
        <v>6</v>
      </c>
      <c r="F159" s="70" t="s">
        <v>154</v>
      </c>
      <c r="G159" s="73" t="s">
        <v>879</v>
      </c>
      <c r="H159" s="75" t="str">
        <f aca="false">IFERROR(INDEX(Roles!$D$5:$D$26,MATCH(G159,Roles!$A$5:$A$26,0)),"")</f>
        <v>medilens-sre-operations</v>
      </c>
      <c r="I159" s="24" t="s">
        <v>1027</v>
      </c>
      <c r="J159" s="24" t="s">
        <v>1028</v>
      </c>
      <c r="K159" s="24" t="s">
        <v>1029</v>
      </c>
      <c r="L159" s="24" t="s">
        <v>1030</v>
      </c>
      <c r="M159" s="73"/>
      <c r="N159" s="76" t="n">
        <f aca="false">Settings!$C$5</f>
        <v>4</v>
      </c>
      <c r="O159" s="77"/>
      <c r="P159" s="78" t="s">
        <v>74</v>
      </c>
      <c r="Q159" s="73" t="str">
        <f aca="true">IF(OR(P159="Xong",P159="Bỏ"),"",IF(B159&lt;TODAY(),"Quá hạn",IF(B159=TODAY(),"Hôm nay","")))</f>
        <v/>
      </c>
      <c r="R159" s="79"/>
    </row>
    <row r="160" customFormat="false" ht="27.75" hidden="false" customHeight="true" outlineLevel="0" collapsed="false">
      <c r="A160" s="73" t="n">
        <v>157</v>
      </c>
      <c r="B160" s="74" t="n">
        <f aca="false">WORKDAY(Settings!$C$4-1,A160,Holidays!$A$5:$A$40)</f>
        <v>46545</v>
      </c>
      <c r="C160" s="73" t="s">
        <v>157</v>
      </c>
      <c r="D160" s="73" t="n">
        <f aca="false">INT((A160-1)/5)+1</f>
        <v>32</v>
      </c>
      <c r="E160" s="73" t="n">
        <f aca="false">MOD(A160-1,10)+1</f>
        <v>7</v>
      </c>
      <c r="F160" s="70" t="s">
        <v>154</v>
      </c>
      <c r="G160" s="73" t="s">
        <v>952</v>
      </c>
      <c r="H160" s="75" t="str">
        <f aca="false">IFERROR(INDEX(Roles!$D$5:$D$26,MATCH(G160,Roles!$A$5:$A$26,0)),"")</f>
        <v>medilens-support-success</v>
      </c>
      <c r="I160" s="24" t="s">
        <v>1031</v>
      </c>
      <c r="J160" s="24" t="s">
        <v>1032</v>
      </c>
      <c r="K160" s="24" t="s">
        <v>1033</v>
      </c>
      <c r="L160" s="24" t="s">
        <v>1034</v>
      </c>
      <c r="M160" s="73"/>
      <c r="N160" s="76" t="n">
        <f aca="false">Settings!$C$5</f>
        <v>4</v>
      </c>
      <c r="O160" s="77"/>
      <c r="P160" s="78" t="s">
        <v>74</v>
      </c>
      <c r="Q160" s="73" t="str">
        <f aca="true">IF(OR(P160="Xong",P160="Bỏ"),"",IF(B160&lt;TODAY(),"Quá hạn",IF(B160=TODAY(),"Hôm nay","")))</f>
        <v/>
      </c>
      <c r="R160" s="79"/>
    </row>
    <row r="161" customFormat="false" ht="27.75" hidden="false" customHeight="true" outlineLevel="0" collapsed="false">
      <c r="A161" s="73" t="n">
        <v>158</v>
      </c>
      <c r="B161" s="74" t="n">
        <f aca="false">WORKDAY(Settings!$C$4-1,A161,Holidays!$A$5:$A$40)</f>
        <v>46546</v>
      </c>
      <c r="C161" s="73" t="s">
        <v>157</v>
      </c>
      <c r="D161" s="73" t="n">
        <f aca="false">INT((A161-1)/5)+1</f>
        <v>32</v>
      </c>
      <c r="E161" s="73" t="n">
        <f aca="false">MOD(A161-1,10)+1</f>
        <v>8</v>
      </c>
      <c r="F161" s="70" t="s">
        <v>154</v>
      </c>
      <c r="G161" s="73" t="s">
        <v>512</v>
      </c>
      <c r="H161" s="75" t="str">
        <f aca="false">IFERROR(INDEX(Roles!$D$5:$D$26,MATCH(G161,Roles!$A$5:$A$26,0)),"")</f>
        <v>medilens-frontend-engineer</v>
      </c>
      <c r="I161" s="24" t="s">
        <v>1035</v>
      </c>
      <c r="J161" s="24" t="s">
        <v>1036</v>
      </c>
      <c r="K161" s="24" t="s">
        <v>938</v>
      </c>
      <c r="L161" s="24" t="s">
        <v>1037</v>
      </c>
      <c r="M161" s="73"/>
      <c r="N161" s="76" t="n">
        <f aca="false">Settings!$C$5</f>
        <v>4</v>
      </c>
      <c r="O161" s="77"/>
      <c r="P161" s="78" t="s">
        <v>74</v>
      </c>
      <c r="Q161" s="73" t="str">
        <f aca="true">IF(OR(P161="Xong",P161="Bỏ"),"",IF(B161&lt;TODAY(),"Quá hạn",IF(B161=TODAY(),"Hôm nay","")))</f>
        <v/>
      </c>
      <c r="R161" s="79"/>
    </row>
    <row r="162" customFormat="false" ht="27.75" hidden="false" customHeight="true" outlineLevel="0" collapsed="false">
      <c r="A162" s="73" t="n">
        <v>159</v>
      </c>
      <c r="B162" s="74" t="n">
        <f aca="false">WORKDAY(Settings!$C$4-1,A162,Holidays!$A$5:$A$40)</f>
        <v>46547</v>
      </c>
      <c r="C162" s="73" t="s">
        <v>157</v>
      </c>
      <c r="D162" s="73" t="n">
        <f aca="false">INT((A162-1)/5)+1</f>
        <v>32</v>
      </c>
      <c r="E162" s="73" t="n">
        <f aca="false">MOD(A162-1,10)+1</f>
        <v>9</v>
      </c>
      <c r="F162" s="70" t="s">
        <v>154</v>
      </c>
      <c r="G162" s="73" t="s">
        <v>558</v>
      </c>
      <c r="H162" s="75" t="str">
        <f aca="false">IFERROR(INDEX(Roles!$D$5:$D$26,MATCH(G162,Roles!$A$5:$A$26,0)),"")</f>
        <v>medilens-data-engineer</v>
      </c>
      <c r="I162" s="24" t="s">
        <v>1038</v>
      </c>
      <c r="J162" s="24" t="s">
        <v>1039</v>
      </c>
      <c r="K162" s="24" t="s">
        <v>1040</v>
      </c>
      <c r="L162" s="24" t="s">
        <v>1041</v>
      </c>
      <c r="M162" s="73"/>
      <c r="N162" s="76" t="n">
        <f aca="false">Settings!$C$5</f>
        <v>4</v>
      </c>
      <c r="O162" s="77"/>
      <c r="P162" s="78" t="s">
        <v>74</v>
      </c>
      <c r="Q162" s="73" t="str">
        <f aca="true">IF(OR(P162="Xong",P162="Bỏ"),"",IF(B162&lt;TODAY(),"Quá hạn",IF(B162=TODAY(),"Hôm nay","")))</f>
        <v/>
      </c>
      <c r="R162" s="79"/>
    </row>
    <row r="163" customFormat="false" ht="27.75" hidden="false" customHeight="true" outlineLevel="0" collapsed="false">
      <c r="A163" s="73" t="n">
        <v>160</v>
      </c>
      <c r="B163" s="74" t="n">
        <f aca="false">WORKDAY(Settings!$C$4-1,A163,Holidays!$A$5:$A$40)</f>
        <v>46548</v>
      </c>
      <c r="C163" s="73" t="s">
        <v>157</v>
      </c>
      <c r="D163" s="73" t="n">
        <f aca="false">INT((A163-1)/5)+1</f>
        <v>32</v>
      </c>
      <c r="E163" s="73" t="n">
        <f aca="false">MOD(A163-1,10)+1</f>
        <v>10</v>
      </c>
      <c r="F163" s="70" t="s">
        <v>154</v>
      </c>
      <c r="G163" s="73" t="s">
        <v>477</v>
      </c>
      <c r="H163" s="75" t="str">
        <f aca="false">IFERROR(INDEX(Roles!$D$5:$D$26,MATCH(G163,Roles!$A$5:$A$26,0)),"")</f>
        <v>medilens-qc-release-gatekeeper</v>
      </c>
      <c r="I163" s="24" t="s">
        <v>1042</v>
      </c>
      <c r="J163" s="24" t="s">
        <v>1043</v>
      </c>
      <c r="K163" s="24" t="s">
        <v>1044</v>
      </c>
      <c r="L163" s="24" t="s">
        <v>1045</v>
      </c>
      <c r="M163" s="80" t="s">
        <v>161</v>
      </c>
      <c r="N163" s="76" t="n">
        <f aca="false">Settings!$C$5</f>
        <v>4</v>
      </c>
      <c r="O163" s="77"/>
      <c r="P163" s="78" t="s">
        <v>74</v>
      </c>
      <c r="Q163" s="73" t="str">
        <f aca="true">IF(OR(P163="Xong",P163="Bỏ"),"",IF(B163&lt;TODAY(),"Quá hạn",IF(B163=TODAY(),"Hôm nay","")))</f>
        <v/>
      </c>
      <c r="R163" s="79"/>
    </row>
    <row r="164" customFormat="false" ht="31.5" hidden="false" customHeight="true" outlineLevel="0" collapsed="false">
      <c r="A164" s="73" t="n">
        <v>161</v>
      </c>
      <c r="B164" s="74" t="n">
        <f aca="false">WORKDAY(Settings!$C$4-1,A164,Holidays!$A$5:$A$40)</f>
        <v>46549</v>
      </c>
      <c r="C164" s="73" t="s">
        <v>165</v>
      </c>
      <c r="D164" s="73" t="n">
        <f aca="false">INT((A164-1)/5)+1</f>
        <v>33</v>
      </c>
      <c r="E164" s="73" t="n">
        <f aca="false">MOD(A164-1,10)+1</f>
        <v>1</v>
      </c>
      <c r="F164" s="71" t="s">
        <v>163</v>
      </c>
      <c r="G164" s="73" t="s">
        <v>393</v>
      </c>
      <c r="H164" s="75" t="str">
        <f aca="false">IFERROR(INDEX(Roles!$D$5:$D$26,MATCH(G164,Roles!$A$5:$A$26,0)),"")</f>
        <v>medilens-product-manager</v>
      </c>
      <c r="I164" s="24" t="s">
        <v>1046</v>
      </c>
      <c r="J164" s="24" t="s">
        <v>1047</v>
      </c>
      <c r="K164" s="24" t="s">
        <v>1048</v>
      </c>
      <c r="L164" s="24" t="s">
        <v>1049</v>
      </c>
      <c r="M164" s="73"/>
      <c r="N164" s="76" t="n">
        <f aca="false">Settings!$C$5</f>
        <v>4</v>
      </c>
      <c r="O164" s="77"/>
      <c r="P164" s="78" t="s">
        <v>74</v>
      </c>
      <c r="Q164" s="73" t="str">
        <f aca="true">IF(OR(P164="Xong",P164="Bỏ"),"",IF(B164&lt;TODAY(),"Quá hạn",IF(B164=TODAY(),"Hôm nay","")))</f>
        <v/>
      </c>
      <c r="R164" s="79"/>
    </row>
    <row r="165" customFormat="false" ht="27.75" hidden="false" customHeight="true" outlineLevel="0" collapsed="false">
      <c r="A165" s="73" t="n">
        <v>162</v>
      </c>
      <c r="B165" s="74" t="n">
        <f aca="false">WORKDAY(Settings!$C$4-1,A165,Holidays!$A$5:$A$40)</f>
        <v>46552</v>
      </c>
      <c r="C165" s="73" t="s">
        <v>165</v>
      </c>
      <c r="D165" s="73" t="n">
        <f aca="false">INT((A165-1)/5)+1</f>
        <v>33</v>
      </c>
      <c r="E165" s="73" t="n">
        <f aca="false">MOD(A165-1,10)+1</f>
        <v>2</v>
      </c>
      <c r="F165" s="71" t="s">
        <v>163</v>
      </c>
      <c r="G165" s="73" t="s">
        <v>503</v>
      </c>
      <c r="H165" s="75" t="str">
        <f aca="false">IFERROR(INDEX(Roles!$D$5:$D$26,MATCH(G165,Roles!$A$5:$A$26,0)),"")</f>
        <v>medilens-backend-engineer</v>
      </c>
      <c r="I165" s="24" t="s">
        <v>1050</v>
      </c>
      <c r="J165" s="24" t="s">
        <v>1051</v>
      </c>
      <c r="K165" s="24" t="s">
        <v>1052</v>
      </c>
      <c r="L165" s="24" t="s">
        <v>1053</v>
      </c>
      <c r="M165" s="73"/>
      <c r="N165" s="76" t="n">
        <f aca="false">Settings!$C$5</f>
        <v>4</v>
      </c>
      <c r="O165" s="77"/>
      <c r="P165" s="78" t="s">
        <v>74</v>
      </c>
      <c r="Q165" s="73" t="str">
        <f aca="true">IF(OR(P165="Xong",P165="Bỏ"),"",IF(B165&lt;TODAY(),"Quá hạn",IF(B165=TODAY(),"Hôm nay","")))</f>
        <v/>
      </c>
      <c r="R165" s="79"/>
    </row>
    <row r="166" customFormat="false" ht="27.75" hidden="false" customHeight="true" outlineLevel="0" collapsed="false">
      <c r="A166" s="73" t="n">
        <v>163</v>
      </c>
      <c r="B166" s="74" t="n">
        <f aca="false">WORKDAY(Settings!$C$4-1,A166,Holidays!$A$5:$A$40)</f>
        <v>46553</v>
      </c>
      <c r="C166" s="73" t="s">
        <v>165</v>
      </c>
      <c r="D166" s="73" t="n">
        <f aca="false">INT((A166-1)/5)+1</f>
        <v>33</v>
      </c>
      <c r="E166" s="73" t="n">
        <f aca="false">MOD(A166-1,10)+1</f>
        <v>3</v>
      </c>
      <c r="F166" s="71" t="s">
        <v>163</v>
      </c>
      <c r="G166" s="73" t="s">
        <v>503</v>
      </c>
      <c r="H166" s="75" t="str">
        <f aca="false">IFERROR(INDEX(Roles!$D$5:$D$26,MATCH(G166,Roles!$A$5:$A$26,0)),"")</f>
        <v>medilens-backend-engineer</v>
      </c>
      <c r="I166" s="24" t="s">
        <v>1054</v>
      </c>
      <c r="J166" s="24" t="s">
        <v>1055</v>
      </c>
      <c r="K166" s="24" t="s">
        <v>1056</v>
      </c>
      <c r="L166" s="24" t="s">
        <v>1057</v>
      </c>
      <c r="M166" s="73"/>
      <c r="N166" s="76" t="n">
        <f aca="false">Settings!$C$5</f>
        <v>4</v>
      </c>
      <c r="O166" s="77"/>
      <c r="P166" s="78" t="s">
        <v>74</v>
      </c>
      <c r="Q166" s="73" t="str">
        <f aca="true">IF(OR(P166="Xong",P166="Bỏ"),"",IF(B166&lt;TODAY(),"Quá hạn",IF(B166=TODAY(),"Hôm nay","")))</f>
        <v/>
      </c>
      <c r="R166" s="79"/>
    </row>
    <row r="167" customFormat="false" ht="31.5" hidden="false" customHeight="true" outlineLevel="0" collapsed="false">
      <c r="A167" s="73" t="n">
        <v>164</v>
      </c>
      <c r="B167" s="74" t="n">
        <f aca="false">WORKDAY(Settings!$C$4-1,A167,Holidays!$A$5:$A$40)</f>
        <v>46554</v>
      </c>
      <c r="C167" s="73" t="s">
        <v>165</v>
      </c>
      <c r="D167" s="73" t="n">
        <f aca="false">INT((A167-1)/5)+1</f>
        <v>33</v>
      </c>
      <c r="E167" s="73" t="n">
        <f aca="false">MOD(A167-1,10)+1</f>
        <v>4</v>
      </c>
      <c r="F167" s="71" t="s">
        <v>163</v>
      </c>
      <c r="G167" s="73" t="s">
        <v>596</v>
      </c>
      <c r="H167" s="75" t="str">
        <f aca="false">IFERROR(INDEX(Roles!$D$5:$D$26,MATCH(G167,Roles!$A$5:$A$26,0)),"")</f>
        <v>medilens-clinical-informaticist</v>
      </c>
      <c r="I167" s="24" t="s">
        <v>1058</v>
      </c>
      <c r="J167" s="24" t="s">
        <v>1059</v>
      </c>
      <c r="K167" s="24" t="s">
        <v>1060</v>
      </c>
      <c r="L167" s="24" t="s">
        <v>1061</v>
      </c>
      <c r="M167" s="73"/>
      <c r="N167" s="76" t="n">
        <f aca="false">Settings!$C$5</f>
        <v>4</v>
      </c>
      <c r="O167" s="77"/>
      <c r="P167" s="78" t="s">
        <v>74</v>
      </c>
      <c r="Q167" s="73" t="str">
        <f aca="true">IF(OR(P167="Xong",P167="Bỏ"),"",IF(B167&lt;TODAY(),"Quá hạn",IF(B167=TODAY(),"Hôm nay","")))</f>
        <v/>
      </c>
      <c r="R167" s="79"/>
    </row>
    <row r="168" customFormat="false" ht="31.5" hidden="false" customHeight="true" outlineLevel="0" collapsed="false">
      <c r="A168" s="73" t="n">
        <v>165</v>
      </c>
      <c r="B168" s="74" t="n">
        <f aca="false">WORKDAY(Settings!$C$4-1,A168,Holidays!$A$5:$A$40)</f>
        <v>46555</v>
      </c>
      <c r="C168" s="73" t="s">
        <v>165</v>
      </c>
      <c r="D168" s="73" t="n">
        <f aca="false">INT((A168-1)/5)+1</f>
        <v>33</v>
      </c>
      <c r="E168" s="73" t="n">
        <f aca="false">MOD(A168-1,10)+1</f>
        <v>5</v>
      </c>
      <c r="F168" s="71" t="s">
        <v>163</v>
      </c>
      <c r="G168" s="73" t="s">
        <v>563</v>
      </c>
      <c r="H168" s="75" t="str">
        <f aca="false">IFERROR(INDEX(Roles!$D$5:$D$26,MATCH(G168,Roles!$A$5:$A$26,0)),"")</f>
        <v>medilens-qa-engineer</v>
      </c>
      <c r="I168" s="24" t="s">
        <v>1062</v>
      </c>
      <c r="J168" s="24" t="s">
        <v>1063</v>
      </c>
      <c r="K168" s="24" t="s">
        <v>1064</v>
      </c>
      <c r="L168" s="24" t="s">
        <v>679</v>
      </c>
      <c r="M168" s="73"/>
      <c r="N168" s="76" t="n">
        <f aca="false">Settings!$C$5</f>
        <v>4</v>
      </c>
      <c r="O168" s="77"/>
      <c r="P168" s="78" t="s">
        <v>74</v>
      </c>
      <c r="Q168" s="73" t="str">
        <f aca="true">IF(OR(P168="Xong",P168="Bỏ"),"",IF(B168&lt;TODAY(),"Quá hạn",IF(B168=TODAY(),"Hôm nay","")))</f>
        <v/>
      </c>
      <c r="R168" s="79"/>
    </row>
    <row r="169" customFormat="false" ht="31.5" hidden="false" customHeight="true" outlineLevel="0" collapsed="false">
      <c r="A169" s="73" t="n">
        <v>166</v>
      </c>
      <c r="B169" s="74" t="n">
        <f aca="false">WORKDAY(Settings!$C$4-1,A169,Holidays!$A$5:$A$40)</f>
        <v>46556</v>
      </c>
      <c r="C169" s="73" t="s">
        <v>165</v>
      </c>
      <c r="D169" s="73" t="n">
        <f aca="false">INT((A169-1)/5)+1</f>
        <v>34</v>
      </c>
      <c r="E169" s="73" t="n">
        <f aca="false">MOD(A169-1,10)+1</f>
        <v>6</v>
      </c>
      <c r="F169" s="71" t="s">
        <v>163</v>
      </c>
      <c r="G169" s="73" t="s">
        <v>454</v>
      </c>
      <c r="H169" s="75" t="str">
        <f aca="false">IFERROR(INDEX(Roles!$D$5:$D$26,MATCH(G169,Roles!$A$5:$A$26,0)),"")</f>
        <v>medilens-ai-ml-engineer</v>
      </c>
      <c r="I169" s="24" t="s">
        <v>1065</v>
      </c>
      <c r="J169" s="24" t="s">
        <v>1066</v>
      </c>
      <c r="K169" s="24" t="s">
        <v>1067</v>
      </c>
      <c r="L169" s="24" t="s">
        <v>1068</v>
      </c>
      <c r="M169" s="73"/>
      <c r="N169" s="76" t="n">
        <f aca="false">Settings!$C$5</f>
        <v>4</v>
      </c>
      <c r="O169" s="77"/>
      <c r="P169" s="78" t="s">
        <v>74</v>
      </c>
      <c r="Q169" s="73" t="str">
        <f aca="true">IF(OR(P169="Xong",P169="Bỏ"),"",IF(B169&lt;TODAY(),"Quá hạn",IF(B169=TODAY(),"Hôm nay","")))</f>
        <v/>
      </c>
      <c r="R169" s="79"/>
    </row>
    <row r="170" customFormat="false" ht="27.75" hidden="false" customHeight="true" outlineLevel="0" collapsed="false">
      <c r="A170" s="73" t="n">
        <v>167</v>
      </c>
      <c r="B170" s="74" t="n">
        <f aca="false">WORKDAY(Settings!$C$4-1,A170,Holidays!$A$5:$A$40)</f>
        <v>46559</v>
      </c>
      <c r="C170" s="73" t="s">
        <v>165</v>
      </c>
      <c r="D170" s="73" t="n">
        <f aca="false">INT((A170-1)/5)+1</f>
        <v>34</v>
      </c>
      <c r="E170" s="73" t="n">
        <f aca="false">MOD(A170-1,10)+1</f>
        <v>7</v>
      </c>
      <c r="F170" s="71" t="s">
        <v>163</v>
      </c>
      <c r="G170" s="73" t="s">
        <v>579</v>
      </c>
      <c r="H170" s="75" t="str">
        <f aca="false">IFERROR(INDEX(Roles!$D$5:$D$26,MATCH(G170,Roles!$A$5:$A$26,0)),"")</f>
        <v>medilens-mlops-engineer</v>
      </c>
      <c r="I170" s="24" t="s">
        <v>1069</v>
      </c>
      <c r="J170" s="24" t="s">
        <v>1070</v>
      </c>
      <c r="K170" s="24" t="s">
        <v>1071</v>
      </c>
      <c r="L170" s="24" t="s">
        <v>1072</v>
      </c>
      <c r="M170" s="73"/>
      <c r="N170" s="76" t="n">
        <f aca="false">Settings!$C$5</f>
        <v>4</v>
      </c>
      <c r="O170" s="77"/>
      <c r="P170" s="78" t="s">
        <v>74</v>
      </c>
      <c r="Q170" s="73" t="str">
        <f aca="true">IF(OR(P170="Xong",P170="Bỏ"),"",IF(B170&lt;TODAY(),"Quá hạn",IF(B170=TODAY(),"Hôm nay","")))</f>
        <v/>
      </c>
      <c r="R170" s="79"/>
    </row>
    <row r="171" customFormat="false" ht="27.75" hidden="false" customHeight="true" outlineLevel="0" collapsed="false">
      <c r="A171" s="73" t="n">
        <v>168</v>
      </c>
      <c r="B171" s="74" t="n">
        <f aca="false">WORKDAY(Settings!$C$4-1,A171,Holidays!$A$5:$A$40)</f>
        <v>46560</v>
      </c>
      <c r="C171" s="73" t="s">
        <v>165</v>
      </c>
      <c r="D171" s="73" t="n">
        <f aca="false">INT((A171-1)/5)+1</f>
        <v>34</v>
      </c>
      <c r="E171" s="73" t="n">
        <f aca="false">MOD(A171-1,10)+1</f>
        <v>8</v>
      </c>
      <c r="F171" s="71" t="s">
        <v>163</v>
      </c>
      <c r="G171" s="73" t="s">
        <v>952</v>
      </c>
      <c r="H171" s="75" t="str">
        <f aca="false">IFERROR(INDEX(Roles!$D$5:$D$26,MATCH(G171,Roles!$A$5:$A$26,0)),"")</f>
        <v>medilens-support-success</v>
      </c>
      <c r="I171" s="24" t="s">
        <v>1073</v>
      </c>
      <c r="J171" s="24" t="s">
        <v>1074</v>
      </c>
      <c r="K171" s="24" t="s">
        <v>1075</v>
      </c>
      <c r="L171" s="24" t="s">
        <v>1076</v>
      </c>
      <c r="M171" s="73"/>
      <c r="N171" s="76" t="n">
        <f aca="false">Settings!$C$5</f>
        <v>4</v>
      </c>
      <c r="O171" s="77"/>
      <c r="P171" s="78" t="s">
        <v>74</v>
      </c>
      <c r="Q171" s="73" t="str">
        <f aca="true">IF(OR(P171="Xong",P171="Bỏ"),"",IF(B171&lt;TODAY(),"Quá hạn",IF(B171=TODAY(),"Hôm nay","")))</f>
        <v/>
      </c>
      <c r="R171" s="79"/>
    </row>
    <row r="172" customFormat="false" ht="27.75" hidden="false" customHeight="true" outlineLevel="0" collapsed="false">
      <c r="A172" s="73" t="n">
        <v>169</v>
      </c>
      <c r="B172" s="74" t="n">
        <f aca="false">WORKDAY(Settings!$C$4-1,A172,Holidays!$A$5:$A$40)</f>
        <v>46561</v>
      </c>
      <c r="C172" s="73" t="s">
        <v>165</v>
      </c>
      <c r="D172" s="73" t="n">
        <f aca="false">INT((A172-1)/5)+1</f>
        <v>34</v>
      </c>
      <c r="E172" s="73" t="n">
        <f aca="false">MOD(A172-1,10)+1</f>
        <v>9</v>
      </c>
      <c r="F172" s="71" t="s">
        <v>163</v>
      </c>
      <c r="G172" s="73" t="s">
        <v>879</v>
      </c>
      <c r="H172" s="75" t="str">
        <f aca="false">IFERROR(INDEX(Roles!$D$5:$D$26,MATCH(G172,Roles!$A$5:$A$26,0)),"")</f>
        <v>medilens-sre-operations</v>
      </c>
      <c r="I172" s="24" t="s">
        <v>1077</v>
      </c>
      <c r="J172" s="24" t="s">
        <v>1077</v>
      </c>
      <c r="K172" s="24" t="s">
        <v>1078</v>
      </c>
      <c r="L172" s="24" t="s">
        <v>1079</v>
      </c>
      <c r="M172" s="73"/>
      <c r="N172" s="76" t="n">
        <f aca="false">Settings!$C$5</f>
        <v>4</v>
      </c>
      <c r="O172" s="77"/>
      <c r="P172" s="78" t="s">
        <v>74</v>
      </c>
      <c r="Q172" s="73" t="str">
        <f aca="true">IF(OR(P172="Xong",P172="Bỏ"),"",IF(B172&lt;TODAY(),"Quá hạn",IF(B172=TODAY(),"Hôm nay","")))</f>
        <v/>
      </c>
      <c r="R172" s="79"/>
    </row>
    <row r="173" customFormat="false" ht="27.75" hidden="false" customHeight="true" outlineLevel="0" collapsed="false">
      <c r="A173" s="73" t="n">
        <v>170</v>
      </c>
      <c r="B173" s="74" t="n">
        <f aca="false">WORKDAY(Settings!$C$4-1,A173,Holidays!$A$5:$A$40)</f>
        <v>46562</v>
      </c>
      <c r="C173" s="73" t="s">
        <v>165</v>
      </c>
      <c r="D173" s="73" t="n">
        <f aca="false">INT((A173-1)/5)+1</f>
        <v>34</v>
      </c>
      <c r="E173" s="73" t="n">
        <f aca="false">MOD(A173-1,10)+1</f>
        <v>10</v>
      </c>
      <c r="F173" s="71" t="s">
        <v>163</v>
      </c>
      <c r="G173" s="73" t="s">
        <v>393</v>
      </c>
      <c r="H173" s="75" t="str">
        <f aca="false">IFERROR(INDEX(Roles!$D$5:$D$26,MATCH(G173,Roles!$A$5:$A$26,0)),"")</f>
        <v>medilens-product-manager</v>
      </c>
      <c r="I173" s="24" t="s">
        <v>1080</v>
      </c>
      <c r="J173" s="24" t="s">
        <v>1081</v>
      </c>
      <c r="K173" s="24" t="s">
        <v>1082</v>
      </c>
      <c r="L173" s="24" t="s">
        <v>651</v>
      </c>
      <c r="M173" s="73"/>
      <c r="N173" s="76" t="n">
        <f aca="false">Settings!$C$5</f>
        <v>4</v>
      </c>
      <c r="O173" s="77"/>
      <c r="P173" s="78" t="s">
        <v>74</v>
      </c>
      <c r="Q173" s="73" t="str">
        <f aca="true">IF(OR(P173="Xong",P173="Bỏ"),"",IF(B173&lt;TODAY(),"Quá hạn",IF(B173=TODAY(),"Hôm nay","")))</f>
        <v/>
      </c>
      <c r="R173" s="79"/>
    </row>
    <row r="174" customFormat="false" ht="31.5" hidden="false" customHeight="true" outlineLevel="0" collapsed="false">
      <c r="A174" s="73" t="n">
        <v>171</v>
      </c>
      <c r="B174" s="74" t="n">
        <f aca="false">WORKDAY(Settings!$C$4-1,A174,Holidays!$A$5:$A$40)</f>
        <v>46563</v>
      </c>
      <c r="C174" s="73" t="s">
        <v>193</v>
      </c>
      <c r="D174" s="73" t="n">
        <f aca="false">INT((A174-1)/5)+1</f>
        <v>35</v>
      </c>
      <c r="E174" s="73" t="n">
        <f aca="false">MOD(A174-1,10)+1</f>
        <v>1</v>
      </c>
      <c r="F174" s="71" t="s">
        <v>163</v>
      </c>
      <c r="G174" s="73" t="s">
        <v>420</v>
      </c>
      <c r="H174" s="75" t="str">
        <f aca="false">IFERROR(INDEX(Roles!$D$5:$D$26,MATCH(G174,Roles!$A$5:$A$26,0)),"")</f>
        <v>medilens-ux-ui-designer</v>
      </c>
      <c r="I174" s="24" t="s">
        <v>1083</v>
      </c>
      <c r="J174" s="24" t="s">
        <v>1084</v>
      </c>
      <c r="K174" s="24" t="s">
        <v>693</v>
      </c>
      <c r="L174" s="24" t="s">
        <v>1085</v>
      </c>
      <c r="M174" s="73"/>
      <c r="N174" s="76" t="n">
        <f aca="false">Settings!$C$5</f>
        <v>4</v>
      </c>
      <c r="O174" s="77"/>
      <c r="P174" s="78" t="s">
        <v>74</v>
      </c>
      <c r="Q174" s="73" t="str">
        <f aca="true">IF(OR(P174="Xong",P174="Bỏ"),"",IF(B174&lt;TODAY(),"Quá hạn",IF(B174=TODAY(),"Hôm nay","")))</f>
        <v/>
      </c>
      <c r="R174" s="79"/>
    </row>
    <row r="175" customFormat="false" ht="31.5" hidden="false" customHeight="true" outlineLevel="0" collapsed="false">
      <c r="A175" s="73" t="n">
        <v>172</v>
      </c>
      <c r="B175" s="74" t="n">
        <f aca="false">WORKDAY(Settings!$C$4-1,A175,Holidays!$A$5:$A$40)</f>
        <v>46566</v>
      </c>
      <c r="C175" s="73" t="s">
        <v>193</v>
      </c>
      <c r="D175" s="73" t="n">
        <f aca="false">INT((A175-1)/5)+1</f>
        <v>35</v>
      </c>
      <c r="E175" s="73" t="n">
        <f aca="false">MOD(A175-1,10)+1</f>
        <v>2</v>
      </c>
      <c r="F175" s="71" t="s">
        <v>163</v>
      </c>
      <c r="G175" s="73" t="s">
        <v>695</v>
      </c>
      <c r="H175" s="75" t="str">
        <f aca="false">IFERROR(INDEX(Roles!$D$5:$D$26,MATCH(G175,Roles!$A$5:$A$26,0)),"")</f>
        <v>medilens-3d-medical-artist</v>
      </c>
      <c r="I175" s="24" t="s">
        <v>1086</v>
      </c>
      <c r="J175" s="24" t="s">
        <v>1087</v>
      </c>
      <c r="K175" s="24" t="s">
        <v>1088</v>
      </c>
      <c r="L175" s="24" t="s">
        <v>1089</v>
      </c>
      <c r="M175" s="73"/>
      <c r="N175" s="76" t="n">
        <f aca="false">Settings!$C$5</f>
        <v>4</v>
      </c>
      <c r="O175" s="77"/>
      <c r="P175" s="78" t="s">
        <v>74</v>
      </c>
      <c r="Q175" s="73" t="str">
        <f aca="true">IF(OR(P175="Xong",P175="Bỏ"),"",IF(B175&lt;TODAY(),"Quá hạn",IF(B175=TODAY(),"Hôm nay","")))</f>
        <v/>
      </c>
      <c r="R175" s="79"/>
    </row>
    <row r="176" customFormat="false" ht="31.5" hidden="false" customHeight="true" outlineLevel="0" collapsed="false">
      <c r="A176" s="73" t="n">
        <v>173</v>
      </c>
      <c r="B176" s="74" t="n">
        <f aca="false">WORKDAY(Settings!$C$4-1,A176,Holidays!$A$5:$A$40)</f>
        <v>46567</v>
      </c>
      <c r="C176" s="73" t="s">
        <v>193</v>
      </c>
      <c r="D176" s="73" t="n">
        <f aca="false">INT((A176-1)/5)+1</f>
        <v>35</v>
      </c>
      <c r="E176" s="73" t="n">
        <f aca="false">MOD(A176-1,10)+1</f>
        <v>3</v>
      </c>
      <c r="F176" s="71" t="s">
        <v>163</v>
      </c>
      <c r="G176" s="73" t="s">
        <v>512</v>
      </c>
      <c r="H176" s="75" t="str">
        <f aca="false">IFERROR(INDEX(Roles!$D$5:$D$26,MATCH(G176,Roles!$A$5:$A$26,0)),"")</f>
        <v>medilens-frontend-engineer</v>
      </c>
      <c r="I176" s="24" t="s">
        <v>1090</v>
      </c>
      <c r="J176" s="24" t="s">
        <v>1091</v>
      </c>
      <c r="K176" s="24" t="s">
        <v>1092</v>
      </c>
      <c r="L176" s="24" t="s">
        <v>1093</v>
      </c>
      <c r="M176" s="73"/>
      <c r="N176" s="76" t="n">
        <f aca="false">Settings!$C$5</f>
        <v>4</v>
      </c>
      <c r="O176" s="77"/>
      <c r="P176" s="78" t="s">
        <v>74</v>
      </c>
      <c r="Q176" s="73" t="str">
        <f aca="true">IF(OR(P176="Xong",P176="Bỏ"),"",IF(B176&lt;TODAY(),"Quá hạn",IF(B176=TODAY(),"Hôm nay","")))</f>
        <v/>
      </c>
      <c r="R176" s="79"/>
    </row>
    <row r="177" customFormat="false" ht="27.75" hidden="false" customHeight="true" outlineLevel="0" collapsed="false">
      <c r="A177" s="73" t="n">
        <v>174</v>
      </c>
      <c r="B177" s="74" t="n">
        <f aca="false">WORKDAY(Settings!$C$4-1,A177,Holidays!$A$5:$A$40)</f>
        <v>46568</v>
      </c>
      <c r="C177" s="73" t="s">
        <v>193</v>
      </c>
      <c r="D177" s="73" t="n">
        <f aca="false">INT((A177-1)/5)+1</f>
        <v>35</v>
      </c>
      <c r="E177" s="73" t="n">
        <f aca="false">MOD(A177-1,10)+1</f>
        <v>4</v>
      </c>
      <c r="F177" s="71" t="s">
        <v>163</v>
      </c>
      <c r="G177" s="73" t="s">
        <v>503</v>
      </c>
      <c r="H177" s="75" t="str">
        <f aca="false">IFERROR(INDEX(Roles!$D$5:$D$26,MATCH(G177,Roles!$A$5:$A$26,0)),"")</f>
        <v>medilens-backend-engineer</v>
      </c>
      <c r="I177" s="24" t="s">
        <v>1094</v>
      </c>
      <c r="J177" s="24" t="s">
        <v>1095</v>
      </c>
      <c r="K177" s="24" t="s">
        <v>1096</v>
      </c>
      <c r="L177" s="24" t="s">
        <v>1097</v>
      </c>
      <c r="M177" s="73"/>
      <c r="N177" s="76" t="n">
        <f aca="false">Settings!$C$5</f>
        <v>4</v>
      </c>
      <c r="O177" s="77"/>
      <c r="P177" s="78" t="s">
        <v>74</v>
      </c>
      <c r="Q177" s="73" t="str">
        <f aca="true">IF(OR(P177="Xong",P177="Bỏ"),"",IF(B177&lt;TODAY(),"Quá hạn",IF(B177=TODAY(),"Hôm nay","")))</f>
        <v/>
      </c>
      <c r="R177" s="79"/>
    </row>
    <row r="178" customFormat="false" ht="27.75" hidden="false" customHeight="true" outlineLevel="0" collapsed="false">
      <c r="A178" s="73" t="n">
        <v>175</v>
      </c>
      <c r="B178" s="74" t="n">
        <f aca="false">WORKDAY(Settings!$C$4-1,A178,Holidays!$A$5:$A$40)</f>
        <v>46569</v>
      </c>
      <c r="C178" s="73" t="s">
        <v>193</v>
      </c>
      <c r="D178" s="73" t="n">
        <f aca="false">INT((A178-1)/5)+1</f>
        <v>35</v>
      </c>
      <c r="E178" s="73" t="n">
        <f aca="false">MOD(A178-1,10)+1</f>
        <v>5</v>
      </c>
      <c r="F178" s="71" t="s">
        <v>163</v>
      </c>
      <c r="G178" s="73" t="s">
        <v>402</v>
      </c>
      <c r="H178" s="75" t="str">
        <f aca="false">IFERROR(INDEX(Roles!$D$5:$D$26,MATCH(G178,Roles!$A$5:$A$26,0)),"")</f>
        <v>medilens-regulatory-privacy-officer</v>
      </c>
      <c r="I178" s="24" t="s">
        <v>1098</v>
      </c>
      <c r="J178" s="24" t="s">
        <v>1099</v>
      </c>
      <c r="K178" s="24" t="s">
        <v>1100</v>
      </c>
      <c r="L178" s="24" t="s">
        <v>1101</v>
      </c>
      <c r="M178" s="73"/>
      <c r="N178" s="76" t="n">
        <f aca="false">Settings!$C$5</f>
        <v>4</v>
      </c>
      <c r="O178" s="77"/>
      <c r="P178" s="78" t="s">
        <v>74</v>
      </c>
      <c r="Q178" s="73" t="str">
        <f aca="true">IF(OR(P178="Xong",P178="Bỏ"),"",IF(B178&lt;TODAY(),"Quá hạn",IF(B178=TODAY(),"Hôm nay","")))</f>
        <v/>
      </c>
      <c r="R178" s="79"/>
    </row>
    <row r="179" customFormat="false" ht="31.5" hidden="false" customHeight="true" outlineLevel="0" collapsed="false">
      <c r="A179" s="73" t="n">
        <v>176</v>
      </c>
      <c r="B179" s="74" t="n">
        <f aca="false">WORKDAY(Settings!$C$4-1,A179,Holidays!$A$5:$A$40)</f>
        <v>46570</v>
      </c>
      <c r="C179" s="73" t="s">
        <v>193</v>
      </c>
      <c r="D179" s="73" t="n">
        <f aca="false">INT((A179-1)/5)+1</f>
        <v>36</v>
      </c>
      <c r="E179" s="73" t="n">
        <f aca="false">MOD(A179-1,10)+1</f>
        <v>6</v>
      </c>
      <c r="F179" s="71" t="s">
        <v>163</v>
      </c>
      <c r="G179" s="73" t="s">
        <v>459</v>
      </c>
      <c r="H179" s="75" t="str">
        <f aca="false">IFERROR(INDEX(Roles!$D$5:$D$26,MATCH(G179,Roles!$A$5:$A$26,0)),"")</f>
        <v>medilens-data-curator</v>
      </c>
      <c r="I179" s="24" t="s">
        <v>1102</v>
      </c>
      <c r="J179" s="24" t="s">
        <v>1103</v>
      </c>
      <c r="K179" s="24" t="s">
        <v>1104</v>
      </c>
      <c r="L179" s="24" t="s">
        <v>1105</v>
      </c>
      <c r="M179" s="73"/>
      <c r="N179" s="76" t="n">
        <f aca="false">Settings!$C$5</f>
        <v>4</v>
      </c>
      <c r="O179" s="77"/>
      <c r="P179" s="78" t="s">
        <v>74</v>
      </c>
      <c r="Q179" s="73" t="str">
        <f aca="true">IF(OR(P179="Xong",P179="Bỏ"),"",IF(B179&lt;TODAY(),"Quá hạn",IF(B179=TODAY(),"Hôm nay","")))</f>
        <v/>
      </c>
      <c r="R179" s="79"/>
    </row>
    <row r="180" customFormat="false" ht="27.75" hidden="false" customHeight="true" outlineLevel="0" collapsed="false">
      <c r="A180" s="73" t="n">
        <v>177</v>
      </c>
      <c r="B180" s="74" t="n">
        <f aca="false">WORKDAY(Settings!$C$4-1,A180,Holidays!$A$5:$A$40)</f>
        <v>46573</v>
      </c>
      <c r="C180" s="73" t="s">
        <v>193</v>
      </c>
      <c r="D180" s="73" t="n">
        <f aca="false">INT((A180-1)/5)+1</f>
        <v>36</v>
      </c>
      <c r="E180" s="73" t="n">
        <f aca="false">MOD(A180-1,10)+1</f>
        <v>7</v>
      </c>
      <c r="F180" s="71" t="s">
        <v>163</v>
      </c>
      <c r="G180" s="73" t="s">
        <v>563</v>
      </c>
      <c r="H180" s="75" t="str">
        <f aca="false">IFERROR(INDEX(Roles!$D$5:$D$26,MATCH(G180,Roles!$A$5:$A$26,0)),"")</f>
        <v>medilens-qa-engineer</v>
      </c>
      <c r="I180" s="24" t="s">
        <v>1106</v>
      </c>
      <c r="J180" s="24" t="s">
        <v>1107</v>
      </c>
      <c r="K180" s="24" t="s">
        <v>1108</v>
      </c>
      <c r="L180" s="24" t="s">
        <v>679</v>
      </c>
      <c r="M180" s="73"/>
      <c r="N180" s="76" t="n">
        <f aca="false">Settings!$C$5</f>
        <v>4</v>
      </c>
      <c r="O180" s="77"/>
      <c r="P180" s="78" t="s">
        <v>74</v>
      </c>
      <c r="Q180" s="73" t="str">
        <f aca="true">IF(OR(P180="Xong",P180="Bỏ"),"",IF(B180&lt;TODAY(),"Quá hạn",IF(B180=TODAY(),"Hôm nay","")))</f>
        <v/>
      </c>
      <c r="R180" s="79"/>
    </row>
    <row r="181" customFormat="false" ht="27.75" hidden="false" customHeight="true" outlineLevel="0" collapsed="false">
      <c r="A181" s="73" t="n">
        <v>178</v>
      </c>
      <c r="B181" s="74" t="n">
        <f aca="false">WORKDAY(Settings!$C$4-1,A181,Holidays!$A$5:$A$40)</f>
        <v>46574</v>
      </c>
      <c r="C181" s="73" t="s">
        <v>193</v>
      </c>
      <c r="D181" s="73" t="n">
        <f aca="false">INT((A181-1)/5)+1</f>
        <v>36</v>
      </c>
      <c r="E181" s="73" t="n">
        <f aca="false">MOD(A181-1,10)+1</f>
        <v>8</v>
      </c>
      <c r="F181" s="71" t="s">
        <v>163</v>
      </c>
      <c r="G181" s="73" t="s">
        <v>429</v>
      </c>
      <c r="H181" s="75" t="str">
        <f aca="false">IFERROR(INDEX(Roles!$D$5:$D$26,MATCH(G181,Roles!$A$5:$A$26,0)),"")</f>
        <v>medilens-clinical-safety-officer</v>
      </c>
      <c r="I181" s="24" t="s">
        <v>1109</v>
      </c>
      <c r="J181" s="24" t="s">
        <v>1110</v>
      </c>
      <c r="K181" s="24" t="s">
        <v>726</v>
      </c>
      <c r="L181" s="24" t="s">
        <v>1111</v>
      </c>
      <c r="M181" s="73"/>
      <c r="N181" s="76" t="n">
        <f aca="false">Settings!$C$5</f>
        <v>4</v>
      </c>
      <c r="O181" s="77"/>
      <c r="P181" s="78" t="s">
        <v>74</v>
      </c>
      <c r="Q181" s="73" t="str">
        <f aca="true">IF(OR(P181="Xong",P181="Bỏ"),"",IF(B181&lt;TODAY(),"Quá hạn",IF(B181=TODAY(),"Hôm nay","")))</f>
        <v/>
      </c>
      <c r="R181" s="79"/>
    </row>
    <row r="182" customFormat="false" ht="27.75" hidden="false" customHeight="true" outlineLevel="0" collapsed="false">
      <c r="A182" s="73" t="n">
        <v>179</v>
      </c>
      <c r="B182" s="74" t="n">
        <f aca="false">WORKDAY(Settings!$C$4-1,A182,Holidays!$A$5:$A$40)</f>
        <v>46575</v>
      </c>
      <c r="C182" s="73" t="s">
        <v>193</v>
      </c>
      <c r="D182" s="73" t="n">
        <f aca="false">INT((A182-1)/5)+1</f>
        <v>36</v>
      </c>
      <c r="E182" s="73" t="n">
        <f aca="false">MOD(A182-1,10)+1</f>
        <v>9</v>
      </c>
      <c r="F182" s="71" t="s">
        <v>163</v>
      </c>
      <c r="G182" s="73" t="s">
        <v>952</v>
      </c>
      <c r="H182" s="75" t="str">
        <f aca="false">IFERROR(INDEX(Roles!$D$5:$D$26,MATCH(G182,Roles!$A$5:$A$26,0)),"")</f>
        <v>medilens-support-success</v>
      </c>
      <c r="I182" s="24" t="s">
        <v>1112</v>
      </c>
      <c r="J182" s="24" t="s">
        <v>1113</v>
      </c>
      <c r="K182" s="24" t="s">
        <v>1114</v>
      </c>
      <c r="L182" s="24" t="s">
        <v>1115</v>
      </c>
      <c r="M182" s="73"/>
      <c r="N182" s="76" t="n">
        <f aca="false">Settings!$C$5</f>
        <v>4</v>
      </c>
      <c r="O182" s="77"/>
      <c r="P182" s="78" t="s">
        <v>74</v>
      </c>
      <c r="Q182" s="73" t="str">
        <f aca="true">IF(OR(P182="Xong",P182="Bỏ"),"",IF(B182&lt;TODAY(),"Quá hạn",IF(B182=TODAY(),"Hôm nay","")))</f>
        <v/>
      </c>
      <c r="R182" s="79"/>
    </row>
    <row r="183" customFormat="false" ht="27.75" hidden="false" customHeight="true" outlineLevel="0" collapsed="false">
      <c r="A183" s="73" t="n">
        <v>180</v>
      </c>
      <c r="B183" s="74" t="n">
        <f aca="false">WORKDAY(Settings!$C$4-1,A183,Holidays!$A$5:$A$40)</f>
        <v>46576</v>
      </c>
      <c r="C183" s="73" t="s">
        <v>193</v>
      </c>
      <c r="D183" s="73" t="n">
        <f aca="false">INT((A183-1)/5)+1</f>
        <v>36</v>
      </c>
      <c r="E183" s="73" t="n">
        <f aca="false">MOD(A183-1,10)+1</f>
        <v>10</v>
      </c>
      <c r="F183" s="71" t="s">
        <v>163</v>
      </c>
      <c r="G183" s="73" t="s">
        <v>477</v>
      </c>
      <c r="H183" s="75" t="str">
        <f aca="false">IFERROR(INDEX(Roles!$D$5:$D$26,MATCH(G183,Roles!$A$5:$A$26,0)),"")</f>
        <v>medilens-qc-release-gatekeeper</v>
      </c>
      <c r="I183" s="24" t="s">
        <v>1116</v>
      </c>
      <c r="J183" s="24" t="s">
        <v>1117</v>
      </c>
      <c r="K183" s="24" t="s">
        <v>1118</v>
      </c>
      <c r="L183" s="24" t="s">
        <v>1119</v>
      </c>
      <c r="M183" s="80" t="s">
        <v>324</v>
      </c>
      <c r="N183" s="76" t="n">
        <f aca="false">Settings!$C$5</f>
        <v>4</v>
      </c>
      <c r="O183" s="77"/>
      <c r="P183" s="78" t="s">
        <v>74</v>
      </c>
      <c r="Q183" s="73" t="str">
        <f aca="true">IF(OR(P183="Xong",P183="Bỏ"),"",IF(B183&lt;TODAY(),"Quá hạn",IF(B183=TODAY(),"Hôm nay","")))</f>
        <v/>
      </c>
      <c r="R183" s="79"/>
    </row>
    <row r="184" customFormat="false" ht="27.75" hidden="false" customHeight="true" outlineLevel="0" collapsed="false">
      <c r="A184" s="73" t="n">
        <v>181</v>
      </c>
      <c r="B184" s="74" t="n">
        <f aca="false">WORKDAY(Settings!$C$4-1,A184,Holidays!$A$5:$A$40)</f>
        <v>46577</v>
      </c>
      <c r="C184" s="73" t="s">
        <v>194</v>
      </c>
      <c r="D184" s="73" t="n">
        <f aca="false">INT((A184-1)/5)+1</f>
        <v>37</v>
      </c>
      <c r="E184" s="73" t="n">
        <f aca="false">MOD(A184-1,10)+1</f>
        <v>1</v>
      </c>
      <c r="F184" s="71" t="s">
        <v>163</v>
      </c>
      <c r="G184" s="73" t="s">
        <v>411</v>
      </c>
      <c r="H184" s="75" t="str">
        <f aca="false">IFERROR(INDEX(Roles!$D$5:$D$26,MATCH(G184,Roles!$A$5:$A$26,0)),"")</f>
        <v>medilens-business-analyst</v>
      </c>
      <c r="I184" s="24" t="s">
        <v>1120</v>
      </c>
      <c r="J184" s="24" t="s">
        <v>1121</v>
      </c>
      <c r="K184" s="24" t="s">
        <v>1122</v>
      </c>
      <c r="L184" s="24" t="s">
        <v>1123</v>
      </c>
      <c r="M184" s="73"/>
      <c r="N184" s="76" t="n">
        <f aca="false">Settings!$C$5</f>
        <v>4</v>
      </c>
      <c r="O184" s="77"/>
      <c r="P184" s="78" t="s">
        <v>74</v>
      </c>
      <c r="Q184" s="73" t="str">
        <f aca="true">IF(OR(P184="Xong",P184="Bỏ"),"",IF(B184&lt;TODAY(),"Quá hạn",IF(B184=TODAY(),"Hôm nay","")))</f>
        <v/>
      </c>
      <c r="R184" s="79"/>
    </row>
    <row r="185" customFormat="false" ht="27.75" hidden="false" customHeight="true" outlineLevel="0" collapsed="false">
      <c r="A185" s="73" t="n">
        <v>182</v>
      </c>
      <c r="B185" s="74" t="n">
        <f aca="false">WORKDAY(Settings!$C$4-1,A185,Holidays!$A$5:$A$40)</f>
        <v>46580</v>
      </c>
      <c r="C185" s="73" t="s">
        <v>194</v>
      </c>
      <c r="D185" s="73" t="n">
        <f aca="false">INT((A185-1)/5)+1</f>
        <v>37</v>
      </c>
      <c r="E185" s="73" t="n">
        <f aca="false">MOD(A185-1,10)+1</f>
        <v>2</v>
      </c>
      <c r="F185" s="71" t="s">
        <v>163</v>
      </c>
      <c r="G185" s="73" t="s">
        <v>695</v>
      </c>
      <c r="H185" s="75" t="str">
        <f aca="false">IFERROR(INDEX(Roles!$D$5:$D$26,MATCH(G185,Roles!$A$5:$A$26,0)),"")</f>
        <v>medilens-3d-medical-artist</v>
      </c>
      <c r="I185" s="24" t="s">
        <v>1124</v>
      </c>
      <c r="J185" s="24" t="s">
        <v>1125</v>
      </c>
      <c r="K185" s="24" t="s">
        <v>1126</v>
      </c>
      <c r="L185" s="24" t="s">
        <v>1127</v>
      </c>
      <c r="M185" s="73"/>
      <c r="N185" s="76" t="n">
        <f aca="false">Settings!$C$5</f>
        <v>4</v>
      </c>
      <c r="O185" s="77"/>
      <c r="P185" s="78" t="s">
        <v>74</v>
      </c>
      <c r="Q185" s="73" t="str">
        <f aca="true">IF(OR(P185="Xong",P185="Bỏ"),"",IF(B185&lt;TODAY(),"Quá hạn",IF(B185=TODAY(),"Hôm nay","")))</f>
        <v/>
      </c>
      <c r="R185" s="79"/>
    </row>
    <row r="186" customFormat="false" ht="27.75" hidden="false" customHeight="true" outlineLevel="0" collapsed="false">
      <c r="A186" s="73" t="n">
        <v>183</v>
      </c>
      <c r="B186" s="74" t="n">
        <f aca="false">WORKDAY(Settings!$C$4-1,A186,Holidays!$A$5:$A$40)</f>
        <v>46581</v>
      </c>
      <c r="C186" s="73" t="s">
        <v>194</v>
      </c>
      <c r="D186" s="73" t="n">
        <f aca="false">INT((A186-1)/5)+1</f>
        <v>37</v>
      </c>
      <c r="E186" s="73" t="n">
        <f aca="false">MOD(A186-1,10)+1</f>
        <v>3</v>
      </c>
      <c r="F186" s="71" t="s">
        <v>163</v>
      </c>
      <c r="G186" s="73" t="s">
        <v>503</v>
      </c>
      <c r="H186" s="75" t="str">
        <f aca="false">IFERROR(INDEX(Roles!$D$5:$D$26,MATCH(G186,Roles!$A$5:$A$26,0)),"")</f>
        <v>medilens-backend-engineer</v>
      </c>
      <c r="I186" s="24" t="s">
        <v>1128</v>
      </c>
      <c r="J186" s="24" t="s">
        <v>1129</v>
      </c>
      <c r="K186" s="24" t="s">
        <v>1130</v>
      </c>
      <c r="L186" s="24" t="s">
        <v>1131</v>
      </c>
      <c r="M186" s="73"/>
      <c r="N186" s="76" t="n">
        <f aca="false">Settings!$C$5</f>
        <v>4</v>
      </c>
      <c r="O186" s="77"/>
      <c r="P186" s="78" t="s">
        <v>74</v>
      </c>
      <c r="Q186" s="73" t="str">
        <f aca="true">IF(OR(P186="Xong",P186="Bỏ"),"",IF(B186&lt;TODAY(),"Quá hạn",IF(B186=TODAY(),"Hôm nay","")))</f>
        <v/>
      </c>
      <c r="R186" s="79"/>
    </row>
    <row r="187" customFormat="false" ht="27.75" hidden="false" customHeight="true" outlineLevel="0" collapsed="false">
      <c r="A187" s="73" t="n">
        <v>184</v>
      </c>
      <c r="B187" s="74" t="n">
        <f aca="false">WORKDAY(Settings!$C$4-1,A187,Holidays!$A$5:$A$40)</f>
        <v>46582</v>
      </c>
      <c r="C187" s="73" t="s">
        <v>194</v>
      </c>
      <c r="D187" s="73" t="n">
        <f aca="false">INT((A187-1)/5)+1</f>
        <v>37</v>
      </c>
      <c r="E187" s="73" t="n">
        <f aca="false">MOD(A187-1,10)+1</f>
        <v>4</v>
      </c>
      <c r="F187" s="71" t="s">
        <v>163</v>
      </c>
      <c r="G187" s="73" t="s">
        <v>454</v>
      </c>
      <c r="H187" s="75" t="str">
        <f aca="false">IFERROR(INDEX(Roles!$D$5:$D$26,MATCH(G187,Roles!$A$5:$A$26,0)),"")</f>
        <v>medilens-ai-ml-engineer</v>
      </c>
      <c r="I187" s="24" t="s">
        <v>1132</v>
      </c>
      <c r="J187" s="24" t="s">
        <v>1133</v>
      </c>
      <c r="K187" s="24" t="s">
        <v>1134</v>
      </c>
      <c r="L187" s="24" t="s">
        <v>1135</v>
      </c>
      <c r="M187" s="73"/>
      <c r="N187" s="76" t="n">
        <f aca="false">Settings!$C$5</f>
        <v>4</v>
      </c>
      <c r="O187" s="77"/>
      <c r="P187" s="78" t="s">
        <v>74</v>
      </c>
      <c r="Q187" s="73" t="str">
        <f aca="true">IF(OR(P187="Xong",P187="Bỏ"),"",IF(B187&lt;TODAY(),"Quá hạn",IF(B187=TODAY(),"Hôm nay","")))</f>
        <v/>
      </c>
      <c r="R187" s="79"/>
    </row>
    <row r="188" customFormat="false" ht="31.5" hidden="false" customHeight="true" outlineLevel="0" collapsed="false">
      <c r="A188" s="73" t="n">
        <v>185</v>
      </c>
      <c r="B188" s="74" t="n">
        <f aca="false">WORKDAY(Settings!$C$4-1,A188,Holidays!$A$5:$A$40)</f>
        <v>46583</v>
      </c>
      <c r="C188" s="73" t="s">
        <v>194</v>
      </c>
      <c r="D188" s="73" t="n">
        <f aca="false">INT((A188-1)/5)+1</f>
        <v>37</v>
      </c>
      <c r="E188" s="73" t="n">
        <f aca="false">MOD(A188-1,10)+1</f>
        <v>5</v>
      </c>
      <c r="F188" s="71" t="s">
        <v>163</v>
      </c>
      <c r="G188" s="73" t="s">
        <v>579</v>
      </c>
      <c r="H188" s="75" t="str">
        <f aca="false">IFERROR(INDEX(Roles!$D$5:$D$26,MATCH(G188,Roles!$A$5:$A$26,0)),"")</f>
        <v>medilens-mlops-engineer</v>
      </c>
      <c r="I188" s="24" t="s">
        <v>1136</v>
      </c>
      <c r="J188" s="24" t="s">
        <v>1137</v>
      </c>
      <c r="K188" s="24" t="s">
        <v>1138</v>
      </c>
      <c r="L188" s="24" t="s">
        <v>1139</v>
      </c>
      <c r="M188" s="73"/>
      <c r="N188" s="76" t="n">
        <f aca="false">Settings!$C$5</f>
        <v>4</v>
      </c>
      <c r="O188" s="77"/>
      <c r="P188" s="78" t="s">
        <v>74</v>
      </c>
      <c r="Q188" s="73" t="str">
        <f aca="true">IF(OR(P188="Xong",P188="Bỏ"),"",IF(B188&lt;TODAY(),"Quá hạn",IF(B188=TODAY(),"Hôm nay","")))</f>
        <v/>
      </c>
      <c r="R188" s="79"/>
    </row>
    <row r="189" customFormat="false" ht="31.5" hidden="false" customHeight="true" outlineLevel="0" collapsed="false">
      <c r="A189" s="73" t="n">
        <v>186</v>
      </c>
      <c r="B189" s="74" t="n">
        <f aca="false">WORKDAY(Settings!$C$4-1,A189,Holidays!$A$5:$A$40)</f>
        <v>46584</v>
      </c>
      <c r="C189" s="73" t="s">
        <v>194</v>
      </c>
      <c r="D189" s="73" t="n">
        <f aca="false">INT((A189-1)/5)+1</f>
        <v>38</v>
      </c>
      <c r="E189" s="73" t="n">
        <f aca="false">MOD(A189-1,10)+1</f>
        <v>6</v>
      </c>
      <c r="F189" s="71" t="s">
        <v>163</v>
      </c>
      <c r="G189" s="73" t="s">
        <v>579</v>
      </c>
      <c r="H189" s="75" t="str">
        <f aca="false">IFERROR(INDEX(Roles!$D$5:$D$26,MATCH(G189,Roles!$A$5:$A$26,0)),"")</f>
        <v>medilens-mlops-engineer</v>
      </c>
      <c r="I189" s="24" t="s">
        <v>1140</v>
      </c>
      <c r="J189" s="24" t="s">
        <v>1141</v>
      </c>
      <c r="K189" s="24" t="s">
        <v>1142</v>
      </c>
      <c r="L189" s="24" t="s">
        <v>1143</v>
      </c>
      <c r="M189" s="73"/>
      <c r="N189" s="76" t="n">
        <f aca="false">Settings!$C$5</f>
        <v>4</v>
      </c>
      <c r="O189" s="77"/>
      <c r="P189" s="78" t="s">
        <v>74</v>
      </c>
      <c r="Q189" s="73" t="str">
        <f aca="true">IF(OR(P189="Xong",P189="Bỏ"),"",IF(B189&lt;TODAY(),"Quá hạn",IF(B189=TODAY(),"Hôm nay","")))</f>
        <v/>
      </c>
      <c r="R189" s="79"/>
    </row>
    <row r="190" customFormat="false" ht="27.75" hidden="false" customHeight="true" outlineLevel="0" collapsed="false">
      <c r="A190" s="73" t="n">
        <v>187</v>
      </c>
      <c r="B190" s="74" t="n">
        <f aca="false">WORKDAY(Settings!$C$4-1,A190,Holidays!$A$5:$A$40)</f>
        <v>46587</v>
      </c>
      <c r="C190" s="73" t="s">
        <v>194</v>
      </c>
      <c r="D190" s="73" t="n">
        <f aca="false">INT((A190-1)/5)+1</f>
        <v>38</v>
      </c>
      <c r="E190" s="73" t="n">
        <f aca="false">MOD(A190-1,10)+1</f>
        <v>7</v>
      </c>
      <c r="F190" s="71" t="s">
        <v>163</v>
      </c>
      <c r="G190" s="73" t="s">
        <v>512</v>
      </c>
      <c r="H190" s="75" t="str">
        <f aca="false">IFERROR(INDEX(Roles!$D$5:$D$26,MATCH(G190,Roles!$A$5:$A$26,0)),"")</f>
        <v>medilens-frontend-engineer</v>
      </c>
      <c r="I190" s="24" t="s">
        <v>1144</v>
      </c>
      <c r="J190" s="24" t="s">
        <v>1145</v>
      </c>
      <c r="K190" s="24" t="s">
        <v>1146</v>
      </c>
      <c r="L190" s="24" t="s">
        <v>1147</v>
      </c>
      <c r="M190" s="73"/>
      <c r="N190" s="76" t="n">
        <f aca="false">Settings!$C$5</f>
        <v>4</v>
      </c>
      <c r="O190" s="77"/>
      <c r="P190" s="78" t="s">
        <v>74</v>
      </c>
      <c r="Q190" s="73" t="str">
        <f aca="true">IF(OR(P190="Xong",P190="Bỏ"),"",IF(B190&lt;TODAY(),"Quá hạn",IF(B190=TODAY(),"Hôm nay","")))</f>
        <v/>
      </c>
      <c r="R190" s="79"/>
    </row>
    <row r="191" customFormat="false" ht="31.5" hidden="false" customHeight="true" outlineLevel="0" collapsed="false">
      <c r="A191" s="73" t="n">
        <v>188</v>
      </c>
      <c r="B191" s="74" t="n">
        <f aca="false">WORKDAY(Settings!$C$4-1,A191,Holidays!$A$5:$A$40)</f>
        <v>46588</v>
      </c>
      <c r="C191" s="73" t="s">
        <v>194</v>
      </c>
      <c r="D191" s="73" t="n">
        <f aca="false">INT((A191-1)/5)+1</f>
        <v>38</v>
      </c>
      <c r="E191" s="73" t="n">
        <f aca="false">MOD(A191-1,10)+1</f>
        <v>8</v>
      </c>
      <c r="F191" s="71" t="s">
        <v>163</v>
      </c>
      <c r="G191" s="73" t="s">
        <v>596</v>
      </c>
      <c r="H191" s="75" t="str">
        <f aca="false">IFERROR(INDEX(Roles!$D$5:$D$26,MATCH(G191,Roles!$A$5:$A$26,0)),"")</f>
        <v>medilens-clinical-informaticist</v>
      </c>
      <c r="I191" s="24" t="s">
        <v>1148</v>
      </c>
      <c r="J191" s="24" t="s">
        <v>1149</v>
      </c>
      <c r="K191" s="24" t="s">
        <v>1150</v>
      </c>
      <c r="L191" s="24" t="s">
        <v>1151</v>
      </c>
      <c r="M191" s="73"/>
      <c r="N191" s="76" t="n">
        <f aca="false">Settings!$C$5</f>
        <v>4</v>
      </c>
      <c r="O191" s="77"/>
      <c r="P191" s="78" t="s">
        <v>74</v>
      </c>
      <c r="Q191" s="73" t="str">
        <f aca="true">IF(OR(P191="Xong",P191="Bỏ"),"",IF(B191&lt;TODAY(),"Quá hạn",IF(B191=TODAY(),"Hôm nay","")))</f>
        <v/>
      </c>
      <c r="R191" s="79"/>
    </row>
    <row r="192" customFormat="false" ht="27.75" hidden="false" customHeight="true" outlineLevel="0" collapsed="false">
      <c r="A192" s="73" t="n">
        <v>189</v>
      </c>
      <c r="B192" s="74" t="n">
        <f aca="false">WORKDAY(Settings!$C$4-1,A192,Holidays!$A$5:$A$40)</f>
        <v>46589</v>
      </c>
      <c r="C192" s="73" t="s">
        <v>194</v>
      </c>
      <c r="D192" s="73" t="n">
        <f aca="false">INT((A192-1)/5)+1</f>
        <v>38</v>
      </c>
      <c r="E192" s="73" t="n">
        <f aca="false">MOD(A192-1,10)+1</f>
        <v>9</v>
      </c>
      <c r="F192" s="71" t="s">
        <v>163</v>
      </c>
      <c r="G192" s="73" t="s">
        <v>563</v>
      </c>
      <c r="H192" s="75" t="str">
        <f aca="false">IFERROR(INDEX(Roles!$D$5:$D$26,MATCH(G192,Roles!$A$5:$A$26,0)),"")</f>
        <v>medilens-qa-engineer</v>
      </c>
      <c r="I192" s="24" t="s">
        <v>1152</v>
      </c>
      <c r="J192" s="24" t="s">
        <v>1153</v>
      </c>
      <c r="K192" s="24" t="s">
        <v>1154</v>
      </c>
      <c r="L192" s="24" t="s">
        <v>1155</v>
      </c>
      <c r="M192" s="73"/>
      <c r="N192" s="76" t="n">
        <f aca="false">Settings!$C$5</f>
        <v>4</v>
      </c>
      <c r="O192" s="77"/>
      <c r="P192" s="78" t="s">
        <v>74</v>
      </c>
      <c r="Q192" s="73" t="str">
        <f aca="true">IF(OR(P192="Xong",P192="Bỏ"),"",IF(B192&lt;TODAY(),"Quá hạn",IF(B192=TODAY(),"Hôm nay","")))</f>
        <v/>
      </c>
      <c r="R192" s="79"/>
    </row>
    <row r="193" customFormat="false" ht="27.75" hidden="false" customHeight="true" outlineLevel="0" collapsed="false">
      <c r="A193" s="73" t="n">
        <v>190</v>
      </c>
      <c r="B193" s="74" t="n">
        <f aca="false">WORKDAY(Settings!$C$4-1,A193,Holidays!$A$5:$A$40)</f>
        <v>46590</v>
      </c>
      <c r="C193" s="73" t="s">
        <v>194</v>
      </c>
      <c r="D193" s="73" t="n">
        <f aca="false">INT((A193-1)/5)+1</f>
        <v>38</v>
      </c>
      <c r="E193" s="73" t="n">
        <f aca="false">MOD(A193-1,10)+1</f>
        <v>10</v>
      </c>
      <c r="F193" s="71" t="s">
        <v>163</v>
      </c>
      <c r="G193" s="73" t="s">
        <v>393</v>
      </c>
      <c r="H193" s="75" t="str">
        <f aca="false">IFERROR(INDEX(Roles!$D$5:$D$26,MATCH(G193,Roles!$A$5:$A$26,0)),"")</f>
        <v>medilens-product-manager</v>
      </c>
      <c r="I193" s="24" t="s">
        <v>1080</v>
      </c>
      <c r="J193" s="24" t="s">
        <v>1081</v>
      </c>
      <c r="K193" s="24" t="s">
        <v>1156</v>
      </c>
      <c r="L193" s="24" t="s">
        <v>651</v>
      </c>
      <c r="M193" s="73"/>
      <c r="N193" s="76" t="n">
        <f aca="false">Settings!$C$5</f>
        <v>4</v>
      </c>
      <c r="O193" s="77"/>
      <c r="P193" s="78" t="s">
        <v>74</v>
      </c>
      <c r="Q193" s="73" t="str">
        <f aca="true">IF(OR(P193="Xong",P193="Bỏ"),"",IF(B193&lt;TODAY(),"Quá hạn",IF(B193=TODAY(),"Hôm nay","")))</f>
        <v/>
      </c>
      <c r="R193" s="79"/>
    </row>
    <row r="194" customFormat="false" ht="31.5" hidden="false" customHeight="true" outlineLevel="0" collapsed="false">
      <c r="A194" s="73" t="n">
        <v>191</v>
      </c>
      <c r="B194" s="74" t="n">
        <f aca="false">WORKDAY(Settings!$C$4-1,A194,Holidays!$A$5:$A$40)</f>
        <v>46591</v>
      </c>
      <c r="C194" s="73" t="s">
        <v>166</v>
      </c>
      <c r="D194" s="73" t="n">
        <f aca="false">INT((A194-1)/5)+1</f>
        <v>39</v>
      </c>
      <c r="E194" s="73" t="n">
        <f aca="false">MOD(A194-1,10)+1</f>
        <v>1</v>
      </c>
      <c r="F194" s="71" t="s">
        <v>163</v>
      </c>
      <c r="G194" s="73" t="s">
        <v>393</v>
      </c>
      <c r="H194" s="75" t="str">
        <f aca="false">IFERROR(INDEX(Roles!$D$5:$D$26,MATCH(G194,Roles!$A$5:$A$26,0)),"")</f>
        <v>medilens-product-manager</v>
      </c>
      <c r="I194" s="24" t="s">
        <v>1157</v>
      </c>
      <c r="J194" s="24" t="s">
        <v>1158</v>
      </c>
      <c r="K194" s="24" t="s">
        <v>1159</v>
      </c>
      <c r="L194" s="24" t="s">
        <v>1160</v>
      </c>
      <c r="M194" s="73"/>
      <c r="N194" s="76" t="n">
        <f aca="false">Settings!$C$5</f>
        <v>4</v>
      </c>
      <c r="O194" s="77"/>
      <c r="P194" s="78" t="s">
        <v>74</v>
      </c>
      <c r="Q194" s="73" t="str">
        <f aca="true">IF(OR(P194="Xong",P194="Bỏ"),"",IF(B194&lt;TODAY(),"Quá hạn",IF(B194=TODAY(),"Hôm nay","")))</f>
        <v/>
      </c>
      <c r="R194" s="79"/>
    </row>
    <row r="195" customFormat="false" ht="31.5" hidden="false" customHeight="true" outlineLevel="0" collapsed="false">
      <c r="A195" s="73" t="n">
        <v>192</v>
      </c>
      <c r="B195" s="74" t="n">
        <f aca="false">WORKDAY(Settings!$C$4-1,A195,Holidays!$A$5:$A$40)</f>
        <v>46594</v>
      </c>
      <c r="C195" s="73" t="s">
        <v>166</v>
      </c>
      <c r="D195" s="73" t="n">
        <f aca="false">INT((A195-1)/5)+1</f>
        <v>39</v>
      </c>
      <c r="E195" s="73" t="n">
        <f aca="false">MOD(A195-1,10)+1</f>
        <v>2</v>
      </c>
      <c r="F195" s="71" t="s">
        <v>163</v>
      </c>
      <c r="G195" s="73" t="s">
        <v>402</v>
      </c>
      <c r="H195" s="75" t="str">
        <f aca="false">IFERROR(INDEX(Roles!$D$5:$D$26,MATCH(G195,Roles!$A$5:$A$26,0)),"")</f>
        <v>medilens-regulatory-privacy-officer</v>
      </c>
      <c r="I195" s="24" t="s">
        <v>1161</v>
      </c>
      <c r="J195" s="24" t="s">
        <v>1162</v>
      </c>
      <c r="K195" s="24" t="s">
        <v>1163</v>
      </c>
      <c r="L195" s="24" t="s">
        <v>1164</v>
      </c>
      <c r="M195" s="73"/>
      <c r="N195" s="76" t="n">
        <f aca="false">Settings!$C$5</f>
        <v>4</v>
      </c>
      <c r="O195" s="77"/>
      <c r="P195" s="78" t="s">
        <v>74</v>
      </c>
      <c r="Q195" s="73" t="str">
        <f aca="true">IF(OR(P195="Xong",P195="Bỏ"),"",IF(B195&lt;TODAY(),"Quá hạn",IF(B195=TODAY(),"Hôm nay","")))</f>
        <v/>
      </c>
      <c r="R195" s="79"/>
    </row>
    <row r="196" customFormat="false" ht="31.5" hidden="false" customHeight="true" outlineLevel="0" collapsed="false">
      <c r="A196" s="73" t="n">
        <v>193</v>
      </c>
      <c r="B196" s="74" t="n">
        <f aca="false">WORKDAY(Settings!$C$4-1,A196,Holidays!$A$5:$A$40)</f>
        <v>46595</v>
      </c>
      <c r="C196" s="73" t="s">
        <v>166</v>
      </c>
      <c r="D196" s="73" t="n">
        <f aca="false">INT((A196-1)/5)+1</f>
        <v>39</v>
      </c>
      <c r="E196" s="73" t="n">
        <f aca="false">MOD(A196-1,10)+1</f>
        <v>3</v>
      </c>
      <c r="F196" s="71" t="s">
        <v>163</v>
      </c>
      <c r="G196" s="73" t="s">
        <v>459</v>
      </c>
      <c r="H196" s="75" t="str">
        <f aca="false">IFERROR(INDEX(Roles!$D$5:$D$26,MATCH(G196,Roles!$A$5:$A$26,0)),"")</f>
        <v>medilens-data-curator</v>
      </c>
      <c r="I196" s="24" t="s">
        <v>1165</v>
      </c>
      <c r="J196" s="24" t="s">
        <v>1166</v>
      </c>
      <c r="K196" s="24" t="s">
        <v>1167</v>
      </c>
      <c r="L196" s="24" t="s">
        <v>1168</v>
      </c>
      <c r="M196" s="73"/>
      <c r="N196" s="76" t="n">
        <f aca="false">Settings!$C$5</f>
        <v>4</v>
      </c>
      <c r="O196" s="77"/>
      <c r="P196" s="78" t="s">
        <v>74</v>
      </c>
      <c r="Q196" s="73" t="str">
        <f aca="true">IF(OR(P196="Xong",P196="Bỏ"),"",IF(B196&lt;TODAY(),"Quá hạn",IF(B196=TODAY(),"Hôm nay","")))</f>
        <v/>
      </c>
      <c r="R196" s="79"/>
    </row>
    <row r="197" customFormat="false" ht="27.75" hidden="false" customHeight="true" outlineLevel="0" collapsed="false">
      <c r="A197" s="73" t="n">
        <v>194</v>
      </c>
      <c r="B197" s="74" t="n">
        <f aca="false">WORKDAY(Settings!$C$4-1,A197,Holidays!$A$5:$A$40)</f>
        <v>46596</v>
      </c>
      <c r="C197" s="73" t="s">
        <v>166</v>
      </c>
      <c r="D197" s="73" t="n">
        <f aca="false">INT((A197-1)/5)+1</f>
        <v>39</v>
      </c>
      <c r="E197" s="73" t="n">
        <f aca="false">MOD(A197-1,10)+1</f>
        <v>4</v>
      </c>
      <c r="F197" s="71" t="s">
        <v>163</v>
      </c>
      <c r="G197" s="73" t="s">
        <v>459</v>
      </c>
      <c r="H197" s="75" t="str">
        <f aca="false">IFERROR(INDEX(Roles!$D$5:$D$26,MATCH(G197,Roles!$A$5:$A$26,0)),"")</f>
        <v>medilens-data-curator</v>
      </c>
      <c r="I197" s="24" t="s">
        <v>1169</v>
      </c>
      <c r="J197" s="24" t="s">
        <v>1170</v>
      </c>
      <c r="K197" s="24" t="s">
        <v>1171</v>
      </c>
      <c r="L197" s="24" t="s">
        <v>1172</v>
      </c>
      <c r="M197" s="73"/>
      <c r="N197" s="76" t="n">
        <f aca="false">Settings!$C$5</f>
        <v>4</v>
      </c>
      <c r="O197" s="77"/>
      <c r="P197" s="78" t="s">
        <v>74</v>
      </c>
      <c r="Q197" s="73" t="str">
        <f aca="true">IF(OR(P197="Xong",P197="Bỏ"),"",IF(B197&lt;TODAY(),"Quá hạn",IF(B197=TODAY(),"Hôm nay","")))</f>
        <v/>
      </c>
      <c r="R197" s="79"/>
    </row>
    <row r="198" customFormat="false" ht="27.75" hidden="false" customHeight="true" outlineLevel="0" collapsed="false">
      <c r="A198" s="73" t="n">
        <v>195</v>
      </c>
      <c r="B198" s="74" t="n">
        <f aca="false">WORKDAY(Settings!$C$4-1,A198,Holidays!$A$5:$A$40)</f>
        <v>46597</v>
      </c>
      <c r="C198" s="73" t="s">
        <v>166</v>
      </c>
      <c r="D198" s="73" t="n">
        <f aca="false">INT((A198-1)/5)+1</f>
        <v>39</v>
      </c>
      <c r="E198" s="73" t="n">
        <f aca="false">MOD(A198-1,10)+1</f>
        <v>5</v>
      </c>
      <c r="F198" s="71" t="s">
        <v>163</v>
      </c>
      <c r="G198" s="73" t="s">
        <v>454</v>
      </c>
      <c r="H198" s="75" t="str">
        <f aca="false">IFERROR(INDEX(Roles!$D$5:$D$26,MATCH(G198,Roles!$A$5:$A$26,0)),"")</f>
        <v>medilens-ai-ml-engineer</v>
      </c>
      <c r="I198" s="24" t="s">
        <v>1173</v>
      </c>
      <c r="J198" s="24" t="s">
        <v>1174</v>
      </c>
      <c r="K198" s="24" t="s">
        <v>1175</v>
      </c>
      <c r="L198" s="24" t="s">
        <v>1176</v>
      </c>
      <c r="M198" s="73"/>
      <c r="N198" s="76" t="n">
        <f aca="false">Settings!$C$5</f>
        <v>4</v>
      </c>
      <c r="O198" s="77"/>
      <c r="P198" s="78" t="s">
        <v>74</v>
      </c>
      <c r="Q198" s="73" t="str">
        <f aca="true">IF(OR(P198="Xong",P198="Bỏ"),"",IF(B198&lt;TODAY(),"Quá hạn",IF(B198=TODAY(),"Hôm nay","")))</f>
        <v/>
      </c>
      <c r="R198" s="79"/>
    </row>
    <row r="199" customFormat="false" ht="31.5" hidden="false" customHeight="true" outlineLevel="0" collapsed="false">
      <c r="A199" s="73" t="n">
        <v>196</v>
      </c>
      <c r="B199" s="74" t="n">
        <f aca="false">WORKDAY(Settings!$C$4-1,A199,Holidays!$A$5:$A$40)</f>
        <v>46598</v>
      </c>
      <c r="C199" s="73" t="s">
        <v>166</v>
      </c>
      <c r="D199" s="73" t="n">
        <f aca="false">INT((A199-1)/5)+1</f>
        <v>40</v>
      </c>
      <c r="E199" s="73" t="n">
        <f aca="false">MOD(A199-1,10)+1</f>
        <v>6</v>
      </c>
      <c r="F199" s="71" t="s">
        <v>163</v>
      </c>
      <c r="G199" s="73" t="s">
        <v>517</v>
      </c>
      <c r="H199" s="75" t="str">
        <f aca="false">IFERROR(INDEX(Roles!$D$5:$D$26,MATCH(G199,Roles!$A$5:$A$26,0)),"")</f>
        <v>medilens-security-engineer</v>
      </c>
      <c r="I199" s="24" t="s">
        <v>1177</v>
      </c>
      <c r="J199" s="24" t="s">
        <v>1178</v>
      </c>
      <c r="K199" s="24" t="s">
        <v>1179</v>
      </c>
      <c r="L199" s="24" t="s">
        <v>1180</v>
      </c>
      <c r="M199" s="73"/>
      <c r="N199" s="76" t="n">
        <f aca="false">Settings!$C$5</f>
        <v>4</v>
      </c>
      <c r="O199" s="77"/>
      <c r="P199" s="78" t="s">
        <v>74</v>
      </c>
      <c r="Q199" s="73" t="str">
        <f aca="true">IF(OR(P199="Xong",P199="Bỏ"),"",IF(B199&lt;TODAY(),"Quá hạn",IF(B199=TODAY(),"Hôm nay","")))</f>
        <v/>
      </c>
      <c r="R199" s="79"/>
    </row>
    <row r="200" customFormat="false" ht="27.75" hidden="false" customHeight="true" outlineLevel="0" collapsed="false">
      <c r="A200" s="73" t="n">
        <v>197</v>
      </c>
      <c r="B200" s="74" t="n">
        <f aca="false">WORKDAY(Settings!$C$4-1,A200,Holidays!$A$5:$A$40)</f>
        <v>46601</v>
      </c>
      <c r="C200" s="73" t="s">
        <v>166</v>
      </c>
      <c r="D200" s="73" t="n">
        <f aca="false">INT((A200-1)/5)+1</f>
        <v>40</v>
      </c>
      <c r="E200" s="73" t="n">
        <f aca="false">MOD(A200-1,10)+1</f>
        <v>7</v>
      </c>
      <c r="F200" s="71" t="s">
        <v>163</v>
      </c>
      <c r="G200" s="73" t="s">
        <v>563</v>
      </c>
      <c r="H200" s="75" t="str">
        <f aca="false">IFERROR(INDEX(Roles!$D$5:$D$26,MATCH(G200,Roles!$A$5:$A$26,0)),"")</f>
        <v>medilens-qa-engineer</v>
      </c>
      <c r="I200" s="24" t="s">
        <v>1181</v>
      </c>
      <c r="J200" s="24" t="s">
        <v>1182</v>
      </c>
      <c r="K200" s="24" t="s">
        <v>1183</v>
      </c>
      <c r="L200" s="24" t="s">
        <v>1014</v>
      </c>
      <c r="M200" s="73"/>
      <c r="N200" s="76" t="n">
        <f aca="false">Settings!$C$5</f>
        <v>4</v>
      </c>
      <c r="O200" s="77"/>
      <c r="P200" s="78" t="s">
        <v>74</v>
      </c>
      <c r="Q200" s="73" t="str">
        <f aca="true">IF(OR(P200="Xong",P200="Bỏ"),"",IF(B200&lt;TODAY(),"Quá hạn",IF(B200=TODAY(),"Hôm nay","")))</f>
        <v/>
      </c>
      <c r="R200" s="79"/>
    </row>
    <row r="201" customFormat="false" ht="27.75" hidden="false" customHeight="true" outlineLevel="0" collapsed="false">
      <c r="A201" s="73" t="n">
        <v>198</v>
      </c>
      <c r="B201" s="74" t="n">
        <f aca="false">WORKDAY(Settings!$C$4-1,A201,Holidays!$A$5:$A$40)</f>
        <v>46602</v>
      </c>
      <c r="C201" s="73" t="s">
        <v>166</v>
      </c>
      <c r="D201" s="73" t="n">
        <f aca="false">INT((A201-1)/5)+1</f>
        <v>40</v>
      </c>
      <c r="E201" s="73" t="n">
        <f aca="false">MOD(A201-1,10)+1</f>
        <v>8</v>
      </c>
      <c r="F201" s="71" t="s">
        <v>163</v>
      </c>
      <c r="G201" s="73" t="s">
        <v>643</v>
      </c>
      <c r="H201" s="75" t="str">
        <f aca="false">IFERROR(INDEX(Roles!$D$5:$D$26,MATCH(G201,Roles!$A$5:$A$26,0)),"")</f>
        <v>medilens-technical-writer</v>
      </c>
      <c r="I201" s="24" t="s">
        <v>1184</v>
      </c>
      <c r="J201" s="24" t="s">
        <v>1185</v>
      </c>
      <c r="K201" s="24" t="s">
        <v>1186</v>
      </c>
      <c r="L201" s="24" t="s">
        <v>1187</v>
      </c>
      <c r="M201" s="73"/>
      <c r="N201" s="76" t="n">
        <f aca="false">Settings!$C$5</f>
        <v>4</v>
      </c>
      <c r="O201" s="77"/>
      <c r="P201" s="78" t="s">
        <v>74</v>
      </c>
      <c r="Q201" s="73" t="str">
        <f aca="true">IF(OR(P201="Xong",P201="Bỏ"),"",IF(B201&lt;TODAY(),"Quá hạn",IF(B201=TODAY(),"Hôm nay","")))</f>
        <v/>
      </c>
      <c r="R201" s="79"/>
    </row>
    <row r="202" customFormat="false" ht="27.75" hidden="false" customHeight="true" outlineLevel="0" collapsed="false">
      <c r="A202" s="73" t="n">
        <v>199</v>
      </c>
      <c r="B202" s="74" t="n">
        <f aca="false">WORKDAY(Settings!$C$4-1,A202,Holidays!$A$5:$A$40)</f>
        <v>46603</v>
      </c>
      <c r="C202" s="73" t="s">
        <v>166</v>
      </c>
      <c r="D202" s="73" t="n">
        <f aca="false">INT((A202-1)/5)+1</f>
        <v>40</v>
      </c>
      <c r="E202" s="73" t="n">
        <f aca="false">MOD(A202-1,10)+1</f>
        <v>9</v>
      </c>
      <c r="F202" s="71" t="s">
        <v>163</v>
      </c>
      <c r="G202" s="73" t="s">
        <v>486</v>
      </c>
      <c r="H202" s="75" t="str">
        <f aca="false">IFERROR(INDEX(Roles!$D$5:$D$26,MATCH(G202,Roles!$A$5:$A$26,0)),"")</f>
        <v>medilens-cloud-devops-engineer</v>
      </c>
      <c r="I202" s="24" t="s">
        <v>1188</v>
      </c>
      <c r="J202" s="24" t="s">
        <v>1189</v>
      </c>
      <c r="K202" s="24" t="s">
        <v>1190</v>
      </c>
      <c r="L202" s="24" t="s">
        <v>1026</v>
      </c>
      <c r="M202" s="73"/>
      <c r="N202" s="76" t="n">
        <f aca="false">Settings!$C$5</f>
        <v>4</v>
      </c>
      <c r="O202" s="77"/>
      <c r="P202" s="78" t="s">
        <v>74</v>
      </c>
      <c r="Q202" s="73" t="str">
        <f aca="true">IF(OR(P202="Xong",P202="Bỏ"),"",IF(B202&lt;TODAY(),"Quá hạn",IF(B202=TODAY(),"Hôm nay","")))</f>
        <v/>
      </c>
      <c r="R202" s="79"/>
    </row>
    <row r="203" customFormat="false" ht="27.75" hidden="false" customHeight="true" outlineLevel="0" collapsed="false">
      <c r="A203" s="73" t="n">
        <v>200</v>
      </c>
      <c r="B203" s="74" t="n">
        <f aca="false">WORKDAY(Settings!$C$4-1,A203,Holidays!$A$5:$A$40)</f>
        <v>46604</v>
      </c>
      <c r="C203" s="73" t="s">
        <v>166</v>
      </c>
      <c r="D203" s="73" t="n">
        <f aca="false">INT((A203-1)/5)+1</f>
        <v>40</v>
      </c>
      <c r="E203" s="73" t="n">
        <f aca="false">MOD(A203-1,10)+1</f>
        <v>10</v>
      </c>
      <c r="F203" s="71" t="s">
        <v>163</v>
      </c>
      <c r="G203" s="73" t="s">
        <v>477</v>
      </c>
      <c r="H203" s="75" t="str">
        <f aca="false">IFERROR(INDEX(Roles!$D$5:$D$26,MATCH(G203,Roles!$A$5:$A$26,0)),"")</f>
        <v>medilens-qc-release-gatekeeper</v>
      </c>
      <c r="I203" s="24" t="s">
        <v>1191</v>
      </c>
      <c r="J203" s="24" t="s">
        <v>1192</v>
      </c>
      <c r="K203" s="24" t="s">
        <v>1193</v>
      </c>
      <c r="L203" s="24" t="s">
        <v>1194</v>
      </c>
      <c r="M203" s="80" t="s">
        <v>337</v>
      </c>
      <c r="N203" s="76" t="n">
        <f aca="false">Settings!$C$5</f>
        <v>4</v>
      </c>
      <c r="O203" s="77"/>
      <c r="P203" s="78" t="s">
        <v>74</v>
      </c>
      <c r="Q203" s="73" t="str">
        <f aca="true">IF(OR(P203="Xong",P203="Bỏ"),"",IF(B203&lt;TODAY(),"Quá hạn",IF(B203=TODAY(),"Hôm nay","")))</f>
        <v/>
      </c>
      <c r="R203" s="79"/>
    </row>
    <row r="204" customFormat="false" ht="31.5" hidden="false" customHeight="true" outlineLevel="0" collapsed="false">
      <c r="A204" s="73" t="n">
        <v>201</v>
      </c>
      <c r="B204" s="74" t="n">
        <f aca="false">WORKDAY(Settings!$C$4-1,A204,Holidays!$A$5:$A$40)</f>
        <v>46605</v>
      </c>
      <c r="C204" s="73" t="s">
        <v>175</v>
      </c>
      <c r="D204" s="73" t="n">
        <f aca="false">INT((A204-1)/5)+1</f>
        <v>41</v>
      </c>
      <c r="E204" s="73" t="n">
        <f aca="false">MOD(A204-1,10)+1</f>
        <v>1</v>
      </c>
      <c r="F204" s="72" t="s">
        <v>172</v>
      </c>
      <c r="G204" s="73" t="s">
        <v>402</v>
      </c>
      <c r="H204" s="75" t="str">
        <f aca="false">IFERROR(INDEX(Roles!$D$5:$D$26,MATCH(G204,Roles!$A$5:$A$26,0)),"")</f>
        <v>medilens-regulatory-privacy-officer</v>
      </c>
      <c r="I204" s="24" t="s">
        <v>1195</v>
      </c>
      <c r="J204" s="24" t="s">
        <v>1196</v>
      </c>
      <c r="K204" s="24" t="s">
        <v>1197</v>
      </c>
      <c r="L204" s="24" t="s">
        <v>1198</v>
      </c>
      <c r="M204" s="73"/>
      <c r="N204" s="76" t="n">
        <f aca="false">Settings!$C$5</f>
        <v>4</v>
      </c>
      <c r="O204" s="77"/>
      <c r="P204" s="78" t="s">
        <v>74</v>
      </c>
      <c r="Q204" s="73" t="str">
        <f aca="true">IF(OR(P204="Xong",P204="Bỏ"),"",IF(B204&lt;TODAY(),"Quá hạn",IF(B204=TODAY(),"Hôm nay","")))</f>
        <v/>
      </c>
      <c r="R204" s="79"/>
    </row>
    <row r="205" customFormat="false" ht="27.75" hidden="false" customHeight="true" outlineLevel="0" collapsed="false">
      <c r="A205" s="73" t="n">
        <v>202</v>
      </c>
      <c r="B205" s="74" t="n">
        <f aca="false">WORKDAY(Settings!$C$4-1,A205,Holidays!$A$5:$A$40)</f>
        <v>46608</v>
      </c>
      <c r="C205" s="73" t="s">
        <v>175</v>
      </c>
      <c r="D205" s="73" t="n">
        <f aca="false">INT((A205-1)/5)+1</f>
        <v>41</v>
      </c>
      <c r="E205" s="73" t="n">
        <f aca="false">MOD(A205-1,10)+1</f>
        <v>2</v>
      </c>
      <c r="F205" s="72" t="s">
        <v>172</v>
      </c>
      <c r="G205" s="73" t="s">
        <v>1199</v>
      </c>
      <c r="H205" s="75" t="str">
        <f aca="false">IFERROR(INDEX(Roles!$D$5:$D$26,MATCH(G205,Roles!$A$5:$A$26,0)),"")</f>
        <v>medilens-medical-imaging-engineer</v>
      </c>
      <c r="I205" s="24" t="s">
        <v>1200</v>
      </c>
      <c r="J205" s="24" t="s">
        <v>1201</v>
      </c>
      <c r="K205" s="24" t="s">
        <v>1202</v>
      </c>
      <c r="L205" s="24" t="s">
        <v>1203</v>
      </c>
      <c r="M205" s="73"/>
      <c r="N205" s="76" t="n">
        <f aca="false">Settings!$C$5</f>
        <v>4</v>
      </c>
      <c r="O205" s="77"/>
      <c r="P205" s="78" t="s">
        <v>74</v>
      </c>
      <c r="Q205" s="73" t="str">
        <f aca="true">IF(OR(P205="Xong",P205="Bỏ"),"",IF(B205&lt;TODAY(),"Quá hạn",IF(B205=TODAY(),"Hôm nay","")))</f>
        <v/>
      </c>
      <c r="R205" s="79"/>
    </row>
    <row r="206" customFormat="false" ht="31.5" hidden="false" customHeight="true" outlineLevel="0" collapsed="false">
      <c r="A206" s="73" t="n">
        <v>203</v>
      </c>
      <c r="B206" s="74" t="n">
        <f aca="false">WORKDAY(Settings!$C$4-1,A206,Holidays!$A$5:$A$40)</f>
        <v>46609</v>
      </c>
      <c r="C206" s="73" t="s">
        <v>175</v>
      </c>
      <c r="D206" s="73" t="n">
        <f aca="false">INT((A206-1)/5)+1</f>
        <v>41</v>
      </c>
      <c r="E206" s="73" t="n">
        <f aca="false">MOD(A206-1,10)+1</f>
        <v>3</v>
      </c>
      <c r="F206" s="72" t="s">
        <v>172</v>
      </c>
      <c r="G206" s="73" t="s">
        <v>1199</v>
      </c>
      <c r="H206" s="75" t="str">
        <f aca="false">IFERROR(INDEX(Roles!$D$5:$D$26,MATCH(G206,Roles!$A$5:$A$26,0)),"")</f>
        <v>medilens-medical-imaging-engineer</v>
      </c>
      <c r="I206" s="24" t="s">
        <v>1204</v>
      </c>
      <c r="J206" s="24" t="s">
        <v>1205</v>
      </c>
      <c r="K206" s="24" t="s">
        <v>1206</v>
      </c>
      <c r="L206" s="24" t="s">
        <v>1207</v>
      </c>
      <c r="M206" s="73"/>
      <c r="N206" s="76" t="n">
        <f aca="false">Settings!$C$5</f>
        <v>4</v>
      </c>
      <c r="O206" s="77"/>
      <c r="P206" s="78" t="s">
        <v>74</v>
      </c>
      <c r="Q206" s="73" t="str">
        <f aca="true">IF(OR(P206="Xong",P206="Bỏ"),"",IF(B206&lt;TODAY(),"Quá hạn",IF(B206=TODAY(),"Hôm nay","")))</f>
        <v/>
      </c>
      <c r="R206" s="79"/>
    </row>
    <row r="207" customFormat="false" ht="31.5" hidden="false" customHeight="true" outlineLevel="0" collapsed="false">
      <c r="A207" s="73" t="n">
        <v>204</v>
      </c>
      <c r="B207" s="74" t="n">
        <f aca="false">WORKDAY(Settings!$C$4-1,A207,Holidays!$A$5:$A$40)</f>
        <v>46610</v>
      </c>
      <c r="C207" s="73" t="s">
        <v>175</v>
      </c>
      <c r="D207" s="73" t="n">
        <f aca="false">INT((A207-1)/5)+1</f>
        <v>41</v>
      </c>
      <c r="E207" s="73" t="n">
        <f aca="false">MOD(A207-1,10)+1</f>
        <v>4</v>
      </c>
      <c r="F207" s="72" t="s">
        <v>172</v>
      </c>
      <c r="G207" s="73" t="s">
        <v>468</v>
      </c>
      <c r="H207" s="75" t="str">
        <f aca="false">IFERROR(INDEX(Roles!$D$5:$D$26,MATCH(G207,Roles!$A$5:$A$26,0)),"")</f>
        <v>medilens-solution-architect</v>
      </c>
      <c r="I207" s="24" t="s">
        <v>1208</v>
      </c>
      <c r="J207" s="24" t="s">
        <v>1209</v>
      </c>
      <c r="K207" s="24" t="s">
        <v>1210</v>
      </c>
      <c r="L207" s="24" t="s">
        <v>1211</v>
      </c>
      <c r="M207" s="73"/>
      <c r="N207" s="76" t="n">
        <f aca="false">Settings!$C$5</f>
        <v>4</v>
      </c>
      <c r="O207" s="77"/>
      <c r="P207" s="78" t="s">
        <v>74</v>
      </c>
      <c r="Q207" s="73" t="str">
        <f aca="true">IF(OR(P207="Xong",P207="Bỏ"),"",IF(B207&lt;TODAY(),"Quá hạn",IF(B207=TODAY(),"Hôm nay","")))</f>
        <v/>
      </c>
      <c r="R207" s="79"/>
    </row>
    <row r="208" customFormat="false" ht="27.75" hidden="false" customHeight="true" outlineLevel="0" collapsed="false">
      <c r="A208" s="73" t="n">
        <v>205</v>
      </c>
      <c r="B208" s="74" t="n">
        <f aca="false">WORKDAY(Settings!$C$4-1,A208,Holidays!$A$5:$A$40)</f>
        <v>46611</v>
      </c>
      <c r="C208" s="73" t="s">
        <v>175</v>
      </c>
      <c r="D208" s="73" t="n">
        <f aca="false">INT((A208-1)/5)+1</f>
        <v>41</v>
      </c>
      <c r="E208" s="73" t="n">
        <f aca="false">MOD(A208-1,10)+1</f>
        <v>5</v>
      </c>
      <c r="F208" s="72" t="s">
        <v>172</v>
      </c>
      <c r="G208" s="73" t="s">
        <v>517</v>
      </c>
      <c r="H208" s="75" t="str">
        <f aca="false">IFERROR(INDEX(Roles!$D$5:$D$26,MATCH(G208,Roles!$A$5:$A$26,0)),"")</f>
        <v>medilens-security-engineer</v>
      </c>
      <c r="I208" s="24" t="s">
        <v>1212</v>
      </c>
      <c r="J208" s="24" t="s">
        <v>1213</v>
      </c>
      <c r="K208" s="24" t="s">
        <v>1214</v>
      </c>
      <c r="L208" s="24" t="s">
        <v>1215</v>
      </c>
      <c r="M208" s="73"/>
      <c r="N208" s="76" t="n">
        <f aca="false">Settings!$C$5</f>
        <v>4</v>
      </c>
      <c r="O208" s="77"/>
      <c r="P208" s="78" t="s">
        <v>74</v>
      </c>
      <c r="Q208" s="73" t="str">
        <f aca="true">IF(OR(P208="Xong",P208="Bỏ"),"",IF(B208&lt;TODAY(),"Quá hạn",IF(B208=TODAY(),"Hôm nay","")))</f>
        <v/>
      </c>
      <c r="R208" s="79"/>
    </row>
    <row r="209" customFormat="false" ht="31.5" hidden="false" customHeight="true" outlineLevel="0" collapsed="false">
      <c r="A209" s="73" t="n">
        <v>206</v>
      </c>
      <c r="B209" s="74" t="n">
        <f aca="false">WORKDAY(Settings!$C$4-1,A209,Holidays!$A$5:$A$40)</f>
        <v>46612</v>
      </c>
      <c r="C209" s="73" t="s">
        <v>175</v>
      </c>
      <c r="D209" s="73" t="n">
        <f aca="false">INT((A209-1)/5)+1</f>
        <v>42</v>
      </c>
      <c r="E209" s="73" t="n">
        <f aca="false">MOD(A209-1,10)+1</f>
        <v>6</v>
      </c>
      <c r="F209" s="72" t="s">
        <v>172</v>
      </c>
      <c r="G209" s="73" t="s">
        <v>503</v>
      </c>
      <c r="H209" s="75" t="str">
        <f aca="false">IFERROR(INDEX(Roles!$D$5:$D$26,MATCH(G209,Roles!$A$5:$A$26,0)),"")</f>
        <v>medilens-backend-engineer</v>
      </c>
      <c r="I209" s="24" t="s">
        <v>1216</v>
      </c>
      <c r="J209" s="24" t="s">
        <v>1217</v>
      </c>
      <c r="K209" s="24" t="s">
        <v>1218</v>
      </c>
      <c r="L209" s="24" t="s">
        <v>1219</v>
      </c>
      <c r="M209" s="73"/>
      <c r="N209" s="76" t="n">
        <f aca="false">Settings!$C$5</f>
        <v>4</v>
      </c>
      <c r="O209" s="77"/>
      <c r="P209" s="78" t="s">
        <v>74</v>
      </c>
      <c r="Q209" s="73" t="str">
        <f aca="true">IF(OR(P209="Xong",P209="Bỏ"),"",IF(B209&lt;TODAY(),"Quá hạn",IF(B209=TODAY(),"Hôm nay","")))</f>
        <v/>
      </c>
      <c r="R209" s="79"/>
    </row>
    <row r="210" customFormat="false" ht="31.5" hidden="false" customHeight="true" outlineLevel="0" collapsed="false">
      <c r="A210" s="73" t="n">
        <v>207</v>
      </c>
      <c r="B210" s="74" t="n">
        <f aca="false">WORKDAY(Settings!$C$4-1,A210,Holidays!$A$5:$A$40)</f>
        <v>46615</v>
      </c>
      <c r="C210" s="73" t="s">
        <v>175</v>
      </c>
      <c r="D210" s="73" t="n">
        <f aca="false">INT((A210-1)/5)+1</f>
        <v>42</v>
      </c>
      <c r="E210" s="73" t="n">
        <f aca="false">MOD(A210-1,10)+1</f>
        <v>7</v>
      </c>
      <c r="F210" s="72" t="s">
        <v>172</v>
      </c>
      <c r="G210" s="73" t="s">
        <v>459</v>
      </c>
      <c r="H210" s="75" t="str">
        <f aca="false">IFERROR(INDEX(Roles!$D$5:$D$26,MATCH(G210,Roles!$A$5:$A$26,0)),"")</f>
        <v>medilens-data-curator</v>
      </c>
      <c r="I210" s="24" t="s">
        <v>1220</v>
      </c>
      <c r="J210" s="24" t="s">
        <v>1221</v>
      </c>
      <c r="K210" s="24" t="s">
        <v>462</v>
      </c>
      <c r="L210" s="24" t="s">
        <v>1222</v>
      </c>
      <c r="M210" s="73"/>
      <c r="N210" s="76" t="n">
        <f aca="false">Settings!$C$5</f>
        <v>4</v>
      </c>
      <c r="O210" s="77"/>
      <c r="P210" s="78" t="s">
        <v>74</v>
      </c>
      <c r="Q210" s="73" t="str">
        <f aca="true">IF(OR(P210="Xong",P210="Bỏ"),"",IF(B210&lt;TODAY(),"Quá hạn",IF(B210=TODAY(),"Hôm nay","")))</f>
        <v/>
      </c>
      <c r="R210" s="79"/>
    </row>
    <row r="211" customFormat="false" ht="27.75" hidden="false" customHeight="true" outlineLevel="0" collapsed="false">
      <c r="A211" s="73" t="n">
        <v>208</v>
      </c>
      <c r="B211" s="74" t="n">
        <f aca="false">WORKDAY(Settings!$C$4-1,A211,Holidays!$A$5:$A$40)</f>
        <v>46616</v>
      </c>
      <c r="C211" s="73" t="s">
        <v>175</v>
      </c>
      <c r="D211" s="73" t="n">
        <f aca="false">INT((A211-1)/5)+1</f>
        <v>42</v>
      </c>
      <c r="E211" s="73" t="n">
        <f aca="false">MOD(A211-1,10)+1</f>
        <v>8</v>
      </c>
      <c r="F211" s="72" t="s">
        <v>172</v>
      </c>
      <c r="G211" s="73" t="s">
        <v>429</v>
      </c>
      <c r="H211" s="75" t="str">
        <f aca="false">IFERROR(INDEX(Roles!$D$5:$D$26,MATCH(G211,Roles!$A$5:$A$26,0)),"")</f>
        <v>medilens-clinical-safety-officer</v>
      </c>
      <c r="I211" s="24" t="s">
        <v>1223</v>
      </c>
      <c r="J211" s="24" t="s">
        <v>1224</v>
      </c>
      <c r="K211" s="24" t="s">
        <v>682</v>
      </c>
      <c r="L211" s="24" t="s">
        <v>1225</v>
      </c>
      <c r="M211" s="73"/>
      <c r="N211" s="76" t="n">
        <f aca="false">Settings!$C$5</f>
        <v>4</v>
      </c>
      <c r="O211" s="77"/>
      <c r="P211" s="78" t="s">
        <v>74</v>
      </c>
      <c r="Q211" s="73" t="str">
        <f aca="true">IF(OR(P211="Xong",P211="Bỏ"),"",IF(B211&lt;TODAY(),"Quá hạn",IF(B211=TODAY(),"Hôm nay","")))</f>
        <v/>
      </c>
      <c r="R211" s="79"/>
    </row>
    <row r="212" customFormat="false" ht="27.75" hidden="false" customHeight="true" outlineLevel="0" collapsed="false">
      <c r="A212" s="73" t="n">
        <v>209</v>
      </c>
      <c r="B212" s="74" t="n">
        <f aca="false">WORKDAY(Settings!$C$4-1,A212,Holidays!$A$5:$A$40)</f>
        <v>46617</v>
      </c>
      <c r="C212" s="73" t="s">
        <v>175</v>
      </c>
      <c r="D212" s="73" t="n">
        <f aca="false">INT((A212-1)/5)+1</f>
        <v>42</v>
      </c>
      <c r="E212" s="73" t="n">
        <f aca="false">MOD(A212-1,10)+1</f>
        <v>9</v>
      </c>
      <c r="F212" s="72" t="s">
        <v>172</v>
      </c>
      <c r="G212" s="73" t="s">
        <v>563</v>
      </c>
      <c r="H212" s="75" t="str">
        <f aca="false">IFERROR(INDEX(Roles!$D$5:$D$26,MATCH(G212,Roles!$A$5:$A$26,0)),"")</f>
        <v>medilens-qa-engineer</v>
      </c>
      <c r="I212" s="24" t="s">
        <v>1226</v>
      </c>
      <c r="J212" s="24" t="s">
        <v>1227</v>
      </c>
      <c r="K212" s="24" t="s">
        <v>1228</v>
      </c>
      <c r="L212" s="24" t="s">
        <v>1229</v>
      </c>
      <c r="M212" s="73"/>
      <c r="N212" s="76" t="n">
        <f aca="false">Settings!$C$5</f>
        <v>4</v>
      </c>
      <c r="O212" s="77"/>
      <c r="P212" s="78" t="s">
        <v>74</v>
      </c>
      <c r="Q212" s="73" t="str">
        <f aca="true">IF(OR(P212="Xong",P212="Bỏ"),"",IF(B212&lt;TODAY(),"Quá hạn",IF(B212=TODAY(),"Hôm nay","")))</f>
        <v/>
      </c>
      <c r="R212" s="79"/>
    </row>
    <row r="213" customFormat="false" ht="27.75" hidden="false" customHeight="true" outlineLevel="0" collapsed="false">
      <c r="A213" s="73" t="n">
        <v>210</v>
      </c>
      <c r="B213" s="74" t="n">
        <f aca="false">WORKDAY(Settings!$C$4-1,A213,Holidays!$A$5:$A$40)</f>
        <v>46618</v>
      </c>
      <c r="C213" s="73" t="s">
        <v>175</v>
      </c>
      <c r="D213" s="73" t="n">
        <f aca="false">INT((A213-1)/5)+1</f>
        <v>42</v>
      </c>
      <c r="E213" s="73" t="n">
        <f aca="false">MOD(A213-1,10)+1</f>
        <v>10</v>
      </c>
      <c r="F213" s="72" t="s">
        <v>172</v>
      </c>
      <c r="G213" s="73" t="s">
        <v>477</v>
      </c>
      <c r="H213" s="75" t="str">
        <f aca="false">IFERROR(INDEX(Roles!$D$5:$D$26,MATCH(G213,Roles!$A$5:$A$26,0)),"")</f>
        <v>medilens-qc-release-gatekeeper</v>
      </c>
      <c r="I213" s="24" t="s">
        <v>1230</v>
      </c>
      <c r="J213" s="24" t="s">
        <v>1231</v>
      </c>
      <c r="K213" s="24" t="s">
        <v>1232</v>
      </c>
      <c r="L213" s="24" t="s">
        <v>1233</v>
      </c>
      <c r="M213" s="80" t="s">
        <v>344</v>
      </c>
      <c r="N213" s="76" t="n">
        <f aca="false">Settings!$C$5</f>
        <v>4</v>
      </c>
      <c r="O213" s="77"/>
      <c r="P213" s="78" t="s">
        <v>74</v>
      </c>
      <c r="Q213" s="73" t="str">
        <f aca="true">IF(OR(P213="Xong",P213="Bỏ"),"",IF(B213&lt;TODAY(),"Quá hạn",IF(B213=TODAY(),"Hôm nay","")))</f>
        <v/>
      </c>
      <c r="R213" s="79"/>
    </row>
    <row r="214" customFormat="false" ht="27.75" hidden="false" customHeight="true" outlineLevel="0" collapsed="false">
      <c r="A214" s="73" t="n">
        <v>211</v>
      </c>
      <c r="B214" s="74" t="n">
        <f aca="false">WORKDAY(Settings!$C$4-1,A214,Holidays!$A$5:$A$40)</f>
        <v>46619</v>
      </c>
      <c r="C214" s="73" t="s">
        <v>195</v>
      </c>
      <c r="D214" s="73" t="n">
        <f aca="false">INT((A214-1)/5)+1</f>
        <v>43</v>
      </c>
      <c r="E214" s="73" t="n">
        <f aca="false">MOD(A214-1,10)+1</f>
        <v>1</v>
      </c>
      <c r="F214" s="72" t="s">
        <v>172</v>
      </c>
      <c r="G214" s="73" t="s">
        <v>512</v>
      </c>
      <c r="H214" s="75" t="str">
        <f aca="false">IFERROR(INDEX(Roles!$D$5:$D$26,MATCH(G214,Roles!$A$5:$A$26,0)),"")</f>
        <v>medilens-frontend-engineer</v>
      </c>
      <c r="I214" s="24" t="s">
        <v>1234</v>
      </c>
      <c r="J214" s="24" t="s">
        <v>1235</v>
      </c>
      <c r="K214" s="24" t="s">
        <v>1236</v>
      </c>
      <c r="L214" s="24" t="s">
        <v>1237</v>
      </c>
      <c r="M214" s="73"/>
      <c r="N214" s="76" t="n">
        <f aca="false">Settings!$C$5</f>
        <v>4</v>
      </c>
      <c r="O214" s="77"/>
      <c r="P214" s="78" t="s">
        <v>74</v>
      </c>
      <c r="Q214" s="73" t="str">
        <f aca="true">IF(OR(P214="Xong",P214="Bỏ"),"",IF(B214&lt;TODAY(),"Quá hạn",IF(B214=TODAY(),"Hôm nay","")))</f>
        <v/>
      </c>
      <c r="R214" s="79"/>
    </row>
    <row r="215" customFormat="false" ht="27.75" hidden="false" customHeight="true" outlineLevel="0" collapsed="false">
      <c r="A215" s="73" t="n">
        <v>212</v>
      </c>
      <c r="B215" s="74" t="n">
        <f aca="false">WORKDAY(Settings!$C$4-1,A215,Holidays!$A$5:$A$40)</f>
        <v>46622</v>
      </c>
      <c r="C215" s="73" t="s">
        <v>195</v>
      </c>
      <c r="D215" s="73" t="n">
        <f aca="false">INT((A215-1)/5)+1</f>
        <v>43</v>
      </c>
      <c r="E215" s="73" t="n">
        <f aca="false">MOD(A215-1,10)+1</f>
        <v>2</v>
      </c>
      <c r="F215" s="72" t="s">
        <v>172</v>
      </c>
      <c r="G215" s="73" t="s">
        <v>1199</v>
      </c>
      <c r="H215" s="75" t="str">
        <f aca="false">IFERROR(INDEX(Roles!$D$5:$D$26,MATCH(G215,Roles!$A$5:$A$26,0)),"")</f>
        <v>medilens-medical-imaging-engineer</v>
      </c>
      <c r="I215" s="24" t="s">
        <v>1238</v>
      </c>
      <c r="J215" s="24" t="s">
        <v>1239</v>
      </c>
      <c r="K215" s="24" t="s">
        <v>1240</v>
      </c>
      <c r="L215" s="24" t="s">
        <v>1241</v>
      </c>
      <c r="M215" s="73"/>
      <c r="N215" s="76" t="n">
        <f aca="false">Settings!$C$5</f>
        <v>4</v>
      </c>
      <c r="O215" s="77"/>
      <c r="P215" s="78" t="s">
        <v>74</v>
      </c>
      <c r="Q215" s="73" t="str">
        <f aca="true">IF(OR(P215="Xong",P215="Bỏ"),"",IF(B215&lt;TODAY(),"Quá hạn",IF(B215=TODAY(),"Hôm nay","")))</f>
        <v/>
      </c>
      <c r="R215" s="79"/>
    </row>
    <row r="216" customFormat="false" ht="31.5" hidden="false" customHeight="true" outlineLevel="0" collapsed="false">
      <c r="A216" s="73" t="n">
        <v>213</v>
      </c>
      <c r="B216" s="74" t="n">
        <f aca="false">WORKDAY(Settings!$C$4-1,A216,Holidays!$A$5:$A$40)</f>
        <v>46623</v>
      </c>
      <c r="C216" s="73" t="s">
        <v>195</v>
      </c>
      <c r="D216" s="73" t="n">
        <f aca="false">INT((A216-1)/5)+1</f>
        <v>43</v>
      </c>
      <c r="E216" s="73" t="n">
        <f aca="false">MOD(A216-1,10)+1</f>
        <v>3</v>
      </c>
      <c r="F216" s="72" t="s">
        <v>172</v>
      </c>
      <c r="G216" s="73" t="s">
        <v>579</v>
      </c>
      <c r="H216" s="75" t="str">
        <f aca="false">IFERROR(INDEX(Roles!$D$5:$D$26,MATCH(G216,Roles!$A$5:$A$26,0)),"")</f>
        <v>medilens-mlops-engineer</v>
      </c>
      <c r="I216" s="24" t="s">
        <v>1242</v>
      </c>
      <c r="J216" s="24" t="s">
        <v>1243</v>
      </c>
      <c r="K216" s="24" t="s">
        <v>1244</v>
      </c>
      <c r="L216" s="24" t="s">
        <v>1245</v>
      </c>
      <c r="M216" s="73"/>
      <c r="N216" s="76" t="n">
        <f aca="false">Settings!$C$5</f>
        <v>4</v>
      </c>
      <c r="O216" s="77"/>
      <c r="P216" s="78" t="s">
        <v>74</v>
      </c>
      <c r="Q216" s="73" t="str">
        <f aca="true">IF(OR(P216="Xong",P216="Bỏ"),"",IF(B216&lt;TODAY(),"Quá hạn",IF(B216=TODAY(),"Hôm nay","")))</f>
        <v/>
      </c>
      <c r="R216" s="79"/>
    </row>
    <row r="217" customFormat="false" ht="27.75" hidden="false" customHeight="true" outlineLevel="0" collapsed="false">
      <c r="A217" s="73" t="n">
        <v>214</v>
      </c>
      <c r="B217" s="74" t="n">
        <f aca="false">WORKDAY(Settings!$C$4-1,A217,Holidays!$A$5:$A$40)</f>
        <v>46624</v>
      </c>
      <c r="C217" s="73" t="s">
        <v>195</v>
      </c>
      <c r="D217" s="73" t="n">
        <f aca="false">INT((A217-1)/5)+1</f>
        <v>43</v>
      </c>
      <c r="E217" s="73" t="n">
        <f aca="false">MOD(A217-1,10)+1</f>
        <v>4</v>
      </c>
      <c r="F217" s="72" t="s">
        <v>172</v>
      </c>
      <c r="G217" s="73" t="s">
        <v>1199</v>
      </c>
      <c r="H217" s="75" t="str">
        <f aca="false">IFERROR(INDEX(Roles!$D$5:$D$26,MATCH(G217,Roles!$A$5:$A$26,0)),"")</f>
        <v>medilens-medical-imaging-engineer</v>
      </c>
      <c r="I217" s="24" t="s">
        <v>1246</v>
      </c>
      <c r="J217" s="24" t="s">
        <v>1247</v>
      </c>
      <c r="K217" s="24" t="s">
        <v>1248</v>
      </c>
      <c r="L217" s="24" t="s">
        <v>1249</v>
      </c>
      <c r="M217" s="73"/>
      <c r="N217" s="76" t="n">
        <f aca="false">Settings!$C$5</f>
        <v>4</v>
      </c>
      <c r="O217" s="77"/>
      <c r="P217" s="78" t="s">
        <v>74</v>
      </c>
      <c r="Q217" s="73" t="str">
        <f aca="true">IF(OR(P217="Xong",P217="Bỏ"),"",IF(B217&lt;TODAY(),"Quá hạn",IF(B217=TODAY(),"Hôm nay","")))</f>
        <v/>
      </c>
      <c r="R217" s="79"/>
    </row>
    <row r="218" customFormat="false" ht="27.75" hidden="false" customHeight="true" outlineLevel="0" collapsed="false">
      <c r="A218" s="73" t="n">
        <v>215</v>
      </c>
      <c r="B218" s="74" t="n">
        <f aca="false">WORKDAY(Settings!$C$4-1,A218,Holidays!$A$5:$A$40)</f>
        <v>46625</v>
      </c>
      <c r="C218" s="73" t="s">
        <v>195</v>
      </c>
      <c r="D218" s="73" t="n">
        <f aca="false">INT((A218-1)/5)+1</f>
        <v>43</v>
      </c>
      <c r="E218" s="73" t="n">
        <f aca="false">MOD(A218-1,10)+1</f>
        <v>5</v>
      </c>
      <c r="F218" s="72" t="s">
        <v>172</v>
      </c>
      <c r="G218" s="73" t="s">
        <v>1199</v>
      </c>
      <c r="H218" s="75" t="str">
        <f aca="false">IFERROR(INDEX(Roles!$D$5:$D$26,MATCH(G218,Roles!$A$5:$A$26,0)),"")</f>
        <v>medilens-medical-imaging-engineer</v>
      </c>
      <c r="I218" s="24" t="s">
        <v>1250</v>
      </c>
      <c r="J218" s="24" t="s">
        <v>1251</v>
      </c>
      <c r="K218" s="24" t="s">
        <v>1252</v>
      </c>
      <c r="L218" s="24" t="s">
        <v>1253</v>
      </c>
      <c r="M218" s="73"/>
      <c r="N218" s="76" t="n">
        <f aca="false">Settings!$C$5</f>
        <v>4</v>
      </c>
      <c r="O218" s="77"/>
      <c r="P218" s="78" t="s">
        <v>74</v>
      </c>
      <c r="Q218" s="73" t="str">
        <f aca="true">IF(OR(P218="Xong",P218="Bỏ"),"",IF(B218&lt;TODAY(),"Quá hạn",IF(B218=TODAY(),"Hôm nay","")))</f>
        <v/>
      </c>
      <c r="R218" s="79"/>
    </row>
    <row r="219" customFormat="false" ht="27.75" hidden="false" customHeight="true" outlineLevel="0" collapsed="false">
      <c r="A219" s="73" t="n">
        <v>216</v>
      </c>
      <c r="B219" s="74" t="n">
        <f aca="false">WORKDAY(Settings!$C$4-1,A219,Holidays!$A$5:$A$40)</f>
        <v>46626</v>
      </c>
      <c r="C219" s="73" t="s">
        <v>195</v>
      </c>
      <c r="D219" s="73" t="n">
        <f aca="false">INT((A219-1)/5)+1</f>
        <v>44</v>
      </c>
      <c r="E219" s="73" t="n">
        <f aca="false">MOD(A219-1,10)+1</f>
        <v>6</v>
      </c>
      <c r="F219" s="72" t="s">
        <v>172</v>
      </c>
      <c r="G219" s="73" t="s">
        <v>512</v>
      </c>
      <c r="H219" s="75" t="str">
        <f aca="false">IFERROR(INDEX(Roles!$D$5:$D$26,MATCH(G219,Roles!$A$5:$A$26,0)),"")</f>
        <v>medilens-frontend-engineer</v>
      </c>
      <c r="I219" s="24" t="s">
        <v>1254</v>
      </c>
      <c r="J219" s="24" t="s">
        <v>1255</v>
      </c>
      <c r="K219" s="24" t="s">
        <v>741</v>
      </c>
      <c r="L219" s="24" t="s">
        <v>1256</v>
      </c>
      <c r="M219" s="73"/>
      <c r="N219" s="76" t="n">
        <f aca="false">Settings!$C$5</f>
        <v>4</v>
      </c>
      <c r="O219" s="77"/>
      <c r="P219" s="78" t="s">
        <v>74</v>
      </c>
      <c r="Q219" s="73" t="str">
        <f aca="true">IF(OR(P219="Xong",P219="Bỏ"),"",IF(B219&lt;TODAY(),"Quá hạn",IF(B219=TODAY(),"Hôm nay","")))</f>
        <v/>
      </c>
      <c r="R219" s="79"/>
    </row>
    <row r="220" customFormat="false" ht="27.75" hidden="false" customHeight="true" outlineLevel="0" collapsed="false">
      <c r="A220" s="73" t="n">
        <v>217</v>
      </c>
      <c r="B220" s="74" t="n">
        <f aca="false">WORKDAY(Settings!$C$4-1,A220,Holidays!$A$5:$A$40)</f>
        <v>46629</v>
      </c>
      <c r="C220" s="73" t="s">
        <v>195</v>
      </c>
      <c r="D220" s="73" t="n">
        <f aca="false">INT((A220-1)/5)+1</f>
        <v>44</v>
      </c>
      <c r="E220" s="73" t="n">
        <f aca="false">MOD(A220-1,10)+1</f>
        <v>7</v>
      </c>
      <c r="F220" s="72" t="s">
        <v>172</v>
      </c>
      <c r="G220" s="73" t="s">
        <v>563</v>
      </c>
      <c r="H220" s="75" t="str">
        <f aca="false">IFERROR(INDEX(Roles!$D$5:$D$26,MATCH(G220,Roles!$A$5:$A$26,0)),"")</f>
        <v>medilens-qa-engineer</v>
      </c>
      <c r="I220" s="24" t="s">
        <v>1257</v>
      </c>
      <c r="J220" s="24" t="s">
        <v>1258</v>
      </c>
      <c r="K220" s="24" t="s">
        <v>1259</v>
      </c>
      <c r="L220" s="24" t="s">
        <v>1260</v>
      </c>
      <c r="M220" s="73"/>
      <c r="N220" s="76" t="n">
        <f aca="false">Settings!$C$5</f>
        <v>4</v>
      </c>
      <c r="O220" s="77"/>
      <c r="P220" s="78" t="s">
        <v>74</v>
      </c>
      <c r="Q220" s="73" t="str">
        <f aca="true">IF(OR(P220="Xong",P220="Bỏ"),"",IF(B220&lt;TODAY(),"Quá hạn",IF(B220=TODAY(),"Hôm nay","")))</f>
        <v/>
      </c>
      <c r="R220" s="79"/>
    </row>
    <row r="221" customFormat="false" ht="31.5" hidden="false" customHeight="true" outlineLevel="0" collapsed="false">
      <c r="A221" s="73" t="n">
        <v>218</v>
      </c>
      <c r="B221" s="74" t="n">
        <f aca="false">WORKDAY(Settings!$C$4-1,A221,Holidays!$A$5:$A$40)</f>
        <v>46630</v>
      </c>
      <c r="C221" s="73" t="s">
        <v>195</v>
      </c>
      <c r="D221" s="73" t="n">
        <f aca="false">INT((A221-1)/5)+1</f>
        <v>44</v>
      </c>
      <c r="E221" s="73" t="n">
        <f aca="false">MOD(A221-1,10)+1</f>
        <v>8</v>
      </c>
      <c r="F221" s="72" t="s">
        <v>172</v>
      </c>
      <c r="G221" s="73" t="s">
        <v>459</v>
      </c>
      <c r="H221" s="75" t="str">
        <f aca="false">IFERROR(INDEX(Roles!$D$5:$D$26,MATCH(G221,Roles!$A$5:$A$26,0)),"")</f>
        <v>medilens-data-curator</v>
      </c>
      <c r="I221" s="24" t="s">
        <v>1261</v>
      </c>
      <c r="J221" s="24" t="s">
        <v>1262</v>
      </c>
      <c r="K221" s="24" t="s">
        <v>1263</v>
      </c>
      <c r="L221" s="24" t="s">
        <v>1264</v>
      </c>
      <c r="M221" s="80" t="s">
        <v>351</v>
      </c>
      <c r="N221" s="76" t="n">
        <f aca="false">Settings!$C$5</f>
        <v>4</v>
      </c>
      <c r="O221" s="77"/>
      <c r="P221" s="78" t="s">
        <v>74</v>
      </c>
      <c r="Q221" s="73" t="str">
        <f aca="true">IF(OR(P221="Xong",P221="Bỏ"),"",IF(B221&lt;TODAY(),"Quá hạn",IF(B221=TODAY(),"Hôm nay","")))</f>
        <v/>
      </c>
      <c r="R221" s="79"/>
    </row>
    <row r="222" customFormat="false" ht="31.5" hidden="false" customHeight="true" outlineLevel="0" collapsed="false">
      <c r="A222" s="73" t="n">
        <v>219</v>
      </c>
      <c r="B222" s="74" t="n">
        <f aca="false">WORKDAY(Settings!$C$4-1,A222,Holidays!$A$5:$A$40)</f>
        <v>46631</v>
      </c>
      <c r="C222" s="73" t="s">
        <v>195</v>
      </c>
      <c r="D222" s="73" t="n">
        <f aca="false">INT((A222-1)/5)+1</f>
        <v>44</v>
      </c>
      <c r="E222" s="73" t="n">
        <f aca="false">MOD(A222-1,10)+1</f>
        <v>9</v>
      </c>
      <c r="F222" s="72" t="s">
        <v>172</v>
      </c>
      <c r="G222" s="73" t="s">
        <v>454</v>
      </c>
      <c r="H222" s="75" t="str">
        <f aca="false">IFERROR(INDEX(Roles!$D$5:$D$26,MATCH(G222,Roles!$A$5:$A$26,0)),"")</f>
        <v>medilens-ai-ml-engineer</v>
      </c>
      <c r="I222" s="24" t="s">
        <v>1265</v>
      </c>
      <c r="J222" s="24" t="s">
        <v>1266</v>
      </c>
      <c r="K222" s="24" t="s">
        <v>1267</v>
      </c>
      <c r="L222" s="24" t="s">
        <v>1268</v>
      </c>
      <c r="M222" s="73"/>
      <c r="N222" s="76" t="n">
        <f aca="false">Settings!$C$5</f>
        <v>4</v>
      </c>
      <c r="O222" s="77"/>
      <c r="P222" s="78" t="s">
        <v>74</v>
      </c>
      <c r="Q222" s="73" t="str">
        <f aca="true">IF(OR(P222="Xong",P222="Bỏ"),"",IF(B222&lt;TODAY(),"Quá hạn",IF(B222=TODAY(),"Hôm nay","")))</f>
        <v/>
      </c>
      <c r="R222" s="79"/>
    </row>
    <row r="223" customFormat="false" ht="27.75" hidden="false" customHeight="true" outlineLevel="0" collapsed="false">
      <c r="A223" s="73" t="n">
        <v>220</v>
      </c>
      <c r="B223" s="74" t="n">
        <f aca="false">WORKDAY(Settings!$C$4-1,A223,Holidays!$A$5:$A$40)</f>
        <v>46636</v>
      </c>
      <c r="C223" s="73" t="s">
        <v>195</v>
      </c>
      <c r="D223" s="73" t="n">
        <f aca="false">INT((A223-1)/5)+1</f>
        <v>44</v>
      </c>
      <c r="E223" s="73" t="n">
        <f aca="false">MOD(A223-1,10)+1</f>
        <v>10</v>
      </c>
      <c r="F223" s="72" t="s">
        <v>172</v>
      </c>
      <c r="G223" s="73" t="s">
        <v>393</v>
      </c>
      <c r="H223" s="75" t="str">
        <f aca="false">IFERROR(INDEX(Roles!$D$5:$D$26,MATCH(G223,Roles!$A$5:$A$26,0)),"")</f>
        <v>medilens-product-manager</v>
      </c>
      <c r="I223" s="24" t="s">
        <v>1080</v>
      </c>
      <c r="J223" s="24" t="s">
        <v>1081</v>
      </c>
      <c r="K223" s="24" t="s">
        <v>1269</v>
      </c>
      <c r="L223" s="24" t="s">
        <v>651</v>
      </c>
      <c r="M223" s="73"/>
      <c r="N223" s="76" t="n">
        <f aca="false">Settings!$C$5</f>
        <v>4</v>
      </c>
      <c r="O223" s="77"/>
      <c r="P223" s="78" t="s">
        <v>74</v>
      </c>
      <c r="Q223" s="73" t="str">
        <f aca="true">IF(OR(P223="Xong",P223="Bỏ"),"",IF(B223&lt;TODAY(),"Quá hạn",IF(B223=TODAY(),"Hôm nay","")))</f>
        <v/>
      </c>
      <c r="R223" s="79"/>
    </row>
    <row r="224" customFormat="false" ht="27.75" hidden="false" customHeight="true" outlineLevel="0" collapsed="false">
      <c r="A224" s="73" t="n">
        <v>221</v>
      </c>
      <c r="B224" s="74" t="n">
        <f aca="false">WORKDAY(Settings!$C$4-1,A224,Holidays!$A$5:$A$40)</f>
        <v>46637</v>
      </c>
      <c r="C224" s="73" t="s">
        <v>196</v>
      </c>
      <c r="D224" s="73" t="n">
        <f aca="false">INT((A224-1)/5)+1</f>
        <v>45</v>
      </c>
      <c r="E224" s="73" t="n">
        <f aca="false">MOD(A224-1,10)+1</f>
        <v>1</v>
      </c>
      <c r="F224" s="72" t="s">
        <v>172</v>
      </c>
      <c r="G224" s="73" t="s">
        <v>1199</v>
      </c>
      <c r="H224" s="75" t="str">
        <f aca="false">IFERROR(INDEX(Roles!$D$5:$D$26,MATCH(G224,Roles!$A$5:$A$26,0)),"")</f>
        <v>medilens-medical-imaging-engineer</v>
      </c>
      <c r="I224" s="24" t="s">
        <v>1270</v>
      </c>
      <c r="J224" s="24" t="s">
        <v>1271</v>
      </c>
      <c r="K224" s="24" t="s">
        <v>1272</v>
      </c>
      <c r="L224" s="24" t="s">
        <v>1273</v>
      </c>
      <c r="M224" s="73"/>
      <c r="N224" s="76" t="n">
        <f aca="false">Settings!$C$5</f>
        <v>4</v>
      </c>
      <c r="O224" s="77"/>
      <c r="P224" s="78" t="s">
        <v>74</v>
      </c>
      <c r="Q224" s="73" t="str">
        <f aca="true">IF(OR(P224="Xong",P224="Bỏ"),"",IF(B224&lt;TODAY(),"Quá hạn",IF(B224=TODAY(),"Hôm nay","")))</f>
        <v/>
      </c>
      <c r="R224" s="79"/>
    </row>
    <row r="225" customFormat="false" ht="27.75" hidden="false" customHeight="true" outlineLevel="0" collapsed="false">
      <c r="A225" s="73" t="n">
        <v>222</v>
      </c>
      <c r="B225" s="74" t="n">
        <f aca="false">WORKDAY(Settings!$C$4-1,A225,Holidays!$A$5:$A$40)</f>
        <v>46638</v>
      </c>
      <c r="C225" s="73" t="s">
        <v>196</v>
      </c>
      <c r="D225" s="73" t="n">
        <f aca="false">INT((A225-1)/5)+1</f>
        <v>45</v>
      </c>
      <c r="E225" s="73" t="n">
        <f aca="false">MOD(A225-1,10)+1</f>
        <v>2</v>
      </c>
      <c r="F225" s="72" t="s">
        <v>172</v>
      </c>
      <c r="G225" s="73" t="s">
        <v>1199</v>
      </c>
      <c r="H225" s="75" t="str">
        <f aca="false">IFERROR(INDEX(Roles!$D$5:$D$26,MATCH(G225,Roles!$A$5:$A$26,0)),"")</f>
        <v>medilens-medical-imaging-engineer</v>
      </c>
      <c r="I225" s="24" t="s">
        <v>1274</v>
      </c>
      <c r="J225" s="24" t="s">
        <v>1275</v>
      </c>
      <c r="K225" s="24" t="s">
        <v>1276</v>
      </c>
      <c r="L225" s="24" t="s">
        <v>1277</v>
      </c>
      <c r="M225" s="73"/>
      <c r="N225" s="76" t="n">
        <f aca="false">Settings!$C$5</f>
        <v>4</v>
      </c>
      <c r="O225" s="77"/>
      <c r="P225" s="78" t="s">
        <v>74</v>
      </c>
      <c r="Q225" s="73" t="str">
        <f aca="true">IF(OR(P225="Xong",P225="Bỏ"),"",IF(B225&lt;TODAY(),"Quá hạn",IF(B225=TODAY(),"Hôm nay","")))</f>
        <v/>
      </c>
      <c r="R225" s="79"/>
    </row>
    <row r="226" customFormat="false" ht="27.75" hidden="false" customHeight="true" outlineLevel="0" collapsed="false">
      <c r="A226" s="73" t="n">
        <v>223</v>
      </c>
      <c r="B226" s="74" t="n">
        <f aca="false">WORKDAY(Settings!$C$4-1,A226,Holidays!$A$5:$A$40)</f>
        <v>46639</v>
      </c>
      <c r="C226" s="73" t="s">
        <v>196</v>
      </c>
      <c r="D226" s="73" t="n">
        <f aca="false">INT((A226-1)/5)+1</f>
        <v>45</v>
      </c>
      <c r="E226" s="73" t="n">
        <f aca="false">MOD(A226-1,10)+1</f>
        <v>3</v>
      </c>
      <c r="F226" s="72" t="s">
        <v>172</v>
      </c>
      <c r="G226" s="73" t="s">
        <v>1199</v>
      </c>
      <c r="H226" s="75" t="str">
        <f aca="false">IFERROR(INDEX(Roles!$D$5:$D$26,MATCH(G226,Roles!$A$5:$A$26,0)),"")</f>
        <v>medilens-medical-imaging-engineer</v>
      </c>
      <c r="I226" s="24" t="s">
        <v>1278</v>
      </c>
      <c r="J226" s="24" t="s">
        <v>1279</v>
      </c>
      <c r="K226" s="24" t="s">
        <v>1280</v>
      </c>
      <c r="L226" s="24" t="s">
        <v>1281</v>
      </c>
      <c r="M226" s="73"/>
      <c r="N226" s="76" t="n">
        <f aca="false">Settings!$C$5</f>
        <v>4</v>
      </c>
      <c r="O226" s="77"/>
      <c r="P226" s="78" t="s">
        <v>74</v>
      </c>
      <c r="Q226" s="73" t="str">
        <f aca="true">IF(OR(P226="Xong",P226="Bỏ"),"",IF(B226&lt;TODAY(),"Quá hạn",IF(B226=TODAY(),"Hôm nay","")))</f>
        <v/>
      </c>
      <c r="R226" s="79"/>
    </row>
    <row r="227" customFormat="false" ht="27.75" hidden="false" customHeight="true" outlineLevel="0" collapsed="false">
      <c r="A227" s="73" t="n">
        <v>224</v>
      </c>
      <c r="B227" s="74" t="n">
        <f aca="false">WORKDAY(Settings!$C$4-1,A227,Holidays!$A$5:$A$40)</f>
        <v>46640</v>
      </c>
      <c r="C227" s="73" t="s">
        <v>196</v>
      </c>
      <c r="D227" s="73" t="n">
        <f aca="false">INT((A227-1)/5)+1</f>
        <v>45</v>
      </c>
      <c r="E227" s="73" t="n">
        <f aca="false">MOD(A227-1,10)+1</f>
        <v>4</v>
      </c>
      <c r="F227" s="72" t="s">
        <v>172</v>
      </c>
      <c r="G227" s="73" t="s">
        <v>512</v>
      </c>
      <c r="H227" s="75" t="str">
        <f aca="false">IFERROR(INDEX(Roles!$D$5:$D$26,MATCH(G227,Roles!$A$5:$A$26,0)),"")</f>
        <v>medilens-frontend-engineer</v>
      </c>
      <c r="I227" s="24" t="s">
        <v>1282</v>
      </c>
      <c r="J227" s="24" t="s">
        <v>1283</v>
      </c>
      <c r="K227" s="24" t="s">
        <v>1284</v>
      </c>
      <c r="L227" s="24" t="s">
        <v>1285</v>
      </c>
      <c r="M227" s="73"/>
      <c r="N227" s="76" t="n">
        <f aca="false">Settings!$C$5</f>
        <v>4</v>
      </c>
      <c r="O227" s="77"/>
      <c r="P227" s="78" t="s">
        <v>74</v>
      </c>
      <c r="Q227" s="73" t="str">
        <f aca="true">IF(OR(P227="Xong",P227="Bỏ"),"",IF(B227&lt;TODAY(),"Quá hạn",IF(B227=TODAY(),"Hôm nay","")))</f>
        <v/>
      </c>
      <c r="R227" s="79"/>
    </row>
    <row r="228" customFormat="false" ht="31.5" hidden="false" customHeight="true" outlineLevel="0" collapsed="false">
      <c r="A228" s="73" t="n">
        <v>225</v>
      </c>
      <c r="B228" s="74" t="n">
        <f aca="false">WORKDAY(Settings!$C$4-1,A228,Holidays!$A$5:$A$40)</f>
        <v>46643</v>
      </c>
      <c r="C228" s="73" t="s">
        <v>196</v>
      </c>
      <c r="D228" s="73" t="n">
        <f aca="false">INT((A228-1)/5)+1</f>
        <v>45</v>
      </c>
      <c r="E228" s="73" t="n">
        <f aca="false">MOD(A228-1,10)+1</f>
        <v>5</v>
      </c>
      <c r="F228" s="72" t="s">
        <v>172</v>
      </c>
      <c r="G228" s="73" t="s">
        <v>503</v>
      </c>
      <c r="H228" s="75" t="str">
        <f aca="false">IFERROR(INDEX(Roles!$D$5:$D$26,MATCH(G228,Roles!$A$5:$A$26,0)),"")</f>
        <v>medilens-backend-engineer</v>
      </c>
      <c r="I228" s="24" t="s">
        <v>1286</v>
      </c>
      <c r="J228" s="24" t="s">
        <v>1287</v>
      </c>
      <c r="K228" s="24" t="s">
        <v>1288</v>
      </c>
      <c r="L228" s="24" t="s">
        <v>1289</v>
      </c>
      <c r="M228" s="73"/>
      <c r="N228" s="76" t="n">
        <f aca="false">Settings!$C$5</f>
        <v>4</v>
      </c>
      <c r="O228" s="77"/>
      <c r="P228" s="78" t="s">
        <v>74</v>
      </c>
      <c r="Q228" s="73" t="str">
        <f aca="true">IF(OR(P228="Xong",P228="Bỏ"),"",IF(B228&lt;TODAY(),"Quá hạn",IF(B228=TODAY(),"Hôm nay","")))</f>
        <v/>
      </c>
      <c r="R228" s="79"/>
    </row>
    <row r="229" customFormat="false" ht="27.75" hidden="false" customHeight="true" outlineLevel="0" collapsed="false">
      <c r="A229" s="73" t="n">
        <v>226</v>
      </c>
      <c r="B229" s="74" t="n">
        <f aca="false">WORKDAY(Settings!$C$4-1,A229,Holidays!$A$5:$A$40)</f>
        <v>46644</v>
      </c>
      <c r="C229" s="73" t="s">
        <v>196</v>
      </c>
      <c r="D229" s="73" t="n">
        <f aca="false">INT((A229-1)/5)+1</f>
        <v>46</v>
      </c>
      <c r="E229" s="73" t="n">
        <f aca="false">MOD(A229-1,10)+1</f>
        <v>6</v>
      </c>
      <c r="F229" s="72" t="s">
        <v>172</v>
      </c>
      <c r="G229" s="73" t="s">
        <v>454</v>
      </c>
      <c r="H229" s="75" t="str">
        <f aca="false">IFERROR(INDEX(Roles!$D$5:$D$26,MATCH(G229,Roles!$A$5:$A$26,0)),"")</f>
        <v>medilens-ai-ml-engineer</v>
      </c>
      <c r="I229" s="24" t="s">
        <v>1290</v>
      </c>
      <c r="J229" s="24" t="s">
        <v>1291</v>
      </c>
      <c r="K229" s="24" t="s">
        <v>1292</v>
      </c>
      <c r="L229" s="24" t="s">
        <v>1293</v>
      </c>
      <c r="M229" s="73"/>
      <c r="N229" s="76" t="n">
        <f aca="false">Settings!$C$5</f>
        <v>4</v>
      </c>
      <c r="O229" s="77"/>
      <c r="P229" s="78" t="s">
        <v>74</v>
      </c>
      <c r="Q229" s="73" t="str">
        <f aca="true">IF(OR(P229="Xong",P229="Bỏ"),"",IF(B229&lt;TODAY(),"Quá hạn",IF(B229=TODAY(),"Hôm nay","")))</f>
        <v/>
      </c>
      <c r="R229" s="79"/>
    </row>
    <row r="230" customFormat="false" ht="31.5" hidden="false" customHeight="true" outlineLevel="0" collapsed="false">
      <c r="A230" s="73" t="n">
        <v>227</v>
      </c>
      <c r="B230" s="74" t="n">
        <f aca="false">WORKDAY(Settings!$C$4-1,A230,Holidays!$A$5:$A$40)</f>
        <v>46645</v>
      </c>
      <c r="C230" s="73" t="s">
        <v>196</v>
      </c>
      <c r="D230" s="73" t="n">
        <f aca="false">INT((A230-1)/5)+1</f>
        <v>46</v>
      </c>
      <c r="E230" s="73" t="n">
        <f aca="false">MOD(A230-1,10)+1</f>
        <v>7</v>
      </c>
      <c r="F230" s="72" t="s">
        <v>172</v>
      </c>
      <c r="G230" s="73" t="s">
        <v>429</v>
      </c>
      <c r="H230" s="75" t="str">
        <f aca="false">IFERROR(INDEX(Roles!$D$5:$D$26,MATCH(G230,Roles!$A$5:$A$26,0)),"")</f>
        <v>medilens-clinical-safety-officer</v>
      </c>
      <c r="I230" s="24" t="s">
        <v>1294</v>
      </c>
      <c r="J230" s="24" t="s">
        <v>1295</v>
      </c>
      <c r="K230" s="24" t="s">
        <v>726</v>
      </c>
      <c r="L230" s="24" t="s">
        <v>1111</v>
      </c>
      <c r="M230" s="73"/>
      <c r="N230" s="76" t="n">
        <f aca="false">Settings!$C$5</f>
        <v>4</v>
      </c>
      <c r="O230" s="77"/>
      <c r="P230" s="78" t="s">
        <v>74</v>
      </c>
      <c r="Q230" s="73" t="str">
        <f aca="true">IF(OR(P230="Xong",P230="Bỏ"),"",IF(B230&lt;TODAY(),"Quá hạn",IF(B230=TODAY(),"Hôm nay","")))</f>
        <v/>
      </c>
      <c r="R230" s="79"/>
    </row>
    <row r="231" customFormat="false" ht="27.75" hidden="false" customHeight="true" outlineLevel="0" collapsed="false">
      <c r="A231" s="73" t="n">
        <v>228</v>
      </c>
      <c r="B231" s="74" t="n">
        <f aca="false">WORKDAY(Settings!$C$4-1,A231,Holidays!$A$5:$A$40)</f>
        <v>46646</v>
      </c>
      <c r="C231" s="73" t="s">
        <v>196</v>
      </c>
      <c r="D231" s="73" t="n">
        <f aca="false">INT((A231-1)/5)+1</f>
        <v>46</v>
      </c>
      <c r="E231" s="73" t="n">
        <f aca="false">MOD(A231-1,10)+1</f>
        <v>8</v>
      </c>
      <c r="F231" s="72" t="s">
        <v>172</v>
      </c>
      <c r="G231" s="73" t="s">
        <v>420</v>
      </c>
      <c r="H231" s="75" t="str">
        <f aca="false">IFERROR(INDEX(Roles!$D$5:$D$26,MATCH(G231,Roles!$A$5:$A$26,0)),"")</f>
        <v>medilens-ux-ui-designer</v>
      </c>
      <c r="I231" s="24" t="s">
        <v>1296</v>
      </c>
      <c r="J231" s="24" t="s">
        <v>1297</v>
      </c>
      <c r="K231" s="24" t="s">
        <v>1298</v>
      </c>
      <c r="L231" s="24" t="s">
        <v>1299</v>
      </c>
      <c r="M231" s="73"/>
      <c r="N231" s="76" t="n">
        <f aca="false">Settings!$C$5</f>
        <v>4</v>
      </c>
      <c r="O231" s="77"/>
      <c r="P231" s="78" t="s">
        <v>74</v>
      </c>
      <c r="Q231" s="73" t="str">
        <f aca="true">IF(OR(P231="Xong",P231="Bỏ"),"",IF(B231&lt;TODAY(),"Quá hạn",IF(B231=TODAY(),"Hôm nay","")))</f>
        <v/>
      </c>
      <c r="R231" s="79"/>
    </row>
    <row r="232" customFormat="false" ht="27.75" hidden="false" customHeight="true" outlineLevel="0" collapsed="false">
      <c r="A232" s="73" t="n">
        <v>229</v>
      </c>
      <c r="B232" s="74" t="n">
        <f aca="false">WORKDAY(Settings!$C$4-1,A232,Holidays!$A$5:$A$40)</f>
        <v>46647</v>
      </c>
      <c r="C232" s="73" t="s">
        <v>196</v>
      </c>
      <c r="D232" s="73" t="n">
        <f aca="false">INT((A232-1)/5)+1</f>
        <v>46</v>
      </c>
      <c r="E232" s="73" t="n">
        <f aca="false">MOD(A232-1,10)+1</f>
        <v>9</v>
      </c>
      <c r="F232" s="72" t="s">
        <v>172</v>
      </c>
      <c r="G232" s="73" t="s">
        <v>563</v>
      </c>
      <c r="H232" s="75" t="str">
        <f aca="false">IFERROR(INDEX(Roles!$D$5:$D$26,MATCH(G232,Roles!$A$5:$A$26,0)),"")</f>
        <v>medilens-qa-engineer</v>
      </c>
      <c r="I232" s="24" t="s">
        <v>1300</v>
      </c>
      <c r="J232" s="24" t="s">
        <v>1301</v>
      </c>
      <c r="K232" s="24" t="s">
        <v>1302</v>
      </c>
      <c r="L232" s="24" t="s">
        <v>679</v>
      </c>
      <c r="M232" s="73"/>
      <c r="N232" s="76" t="n">
        <f aca="false">Settings!$C$5</f>
        <v>4</v>
      </c>
      <c r="O232" s="77"/>
      <c r="P232" s="78" t="s">
        <v>74</v>
      </c>
      <c r="Q232" s="73" t="str">
        <f aca="true">IF(OR(P232="Xong",P232="Bỏ"),"",IF(B232&lt;TODAY(),"Quá hạn",IF(B232=TODAY(),"Hôm nay","")))</f>
        <v/>
      </c>
      <c r="R232" s="79"/>
    </row>
    <row r="233" customFormat="false" ht="27.75" hidden="false" customHeight="true" outlineLevel="0" collapsed="false">
      <c r="A233" s="73" t="n">
        <v>230</v>
      </c>
      <c r="B233" s="74" t="n">
        <f aca="false">WORKDAY(Settings!$C$4-1,A233,Holidays!$A$5:$A$40)</f>
        <v>46650</v>
      </c>
      <c r="C233" s="73" t="s">
        <v>196</v>
      </c>
      <c r="D233" s="73" t="n">
        <f aca="false">INT((A233-1)/5)+1</f>
        <v>46</v>
      </c>
      <c r="E233" s="73" t="n">
        <f aca="false">MOD(A233-1,10)+1</f>
        <v>10</v>
      </c>
      <c r="F233" s="72" t="s">
        <v>172</v>
      </c>
      <c r="G233" s="73" t="s">
        <v>393</v>
      </c>
      <c r="H233" s="75" t="str">
        <f aca="false">IFERROR(INDEX(Roles!$D$5:$D$26,MATCH(G233,Roles!$A$5:$A$26,0)),"")</f>
        <v>medilens-product-manager</v>
      </c>
      <c r="I233" s="24" t="s">
        <v>1080</v>
      </c>
      <c r="J233" s="24" t="s">
        <v>1081</v>
      </c>
      <c r="K233" s="24" t="s">
        <v>1303</v>
      </c>
      <c r="L233" s="24" t="s">
        <v>651</v>
      </c>
      <c r="M233" s="73"/>
      <c r="N233" s="76" t="n">
        <f aca="false">Settings!$C$5</f>
        <v>4</v>
      </c>
      <c r="O233" s="77"/>
      <c r="P233" s="78" t="s">
        <v>74</v>
      </c>
      <c r="Q233" s="73" t="str">
        <f aca="true">IF(OR(P233="Xong",P233="Bỏ"),"",IF(B233&lt;TODAY(),"Quá hạn",IF(B233=TODAY(),"Hôm nay","")))</f>
        <v/>
      </c>
      <c r="R233" s="79"/>
    </row>
    <row r="234" customFormat="false" ht="27.75" hidden="false" customHeight="true" outlineLevel="0" collapsed="false">
      <c r="A234" s="73" t="n">
        <v>231</v>
      </c>
      <c r="B234" s="74" t="n">
        <f aca="false">WORKDAY(Settings!$C$4-1,A234,Holidays!$A$5:$A$40)</f>
        <v>46651</v>
      </c>
      <c r="C234" s="73" t="s">
        <v>197</v>
      </c>
      <c r="D234" s="73" t="n">
        <f aca="false">INT((A234-1)/5)+1</f>
        <v>47</v>
      </c>
      <c r="E234" s="73" t="n">
        <f aca="false">MOD(A234-1,10)+1</f>
        <v>1</v>
      </c>
      <c r="F234" s="72" t="s">
        <v>172</v>
      </c>
      <c r="G234" s="73" t="s">
        <v>579</v>
      </c>
      <c r="H234" s="75" t="str">
        <f aca="false">IFERROR(INDEX(Roles!$D$5:$D$26,MATCH(G234,Roles!$A$5:$A$26,0)),"")</f>
        <v>medilens-mlops-engineer</v>
      </c>
      <c r="I234" s="24" t="s">
        <v>1304</v>
      </c>
      <c r="J234" s="24" t="s">
        <v>1305</v>
      </c>
      <c r="K234" s="24" t="s">
        <v>1306</v>
      </c>
      <c r="L234" s="24" t="s">
        <v>1307</v>
      </c>
      <c r="M234" s="73"/>
      <c r="N234" s="76" t="n">
        <f aca="false">Settings!$C$5</f>
        <v>4</v>
      </c>
      <c r="O234" s="77"/>
      <c r="P234" s="78" t="s">
        <v>74</v>
      </c>
      <c r="Q234" s="73" t="str">
        <f aca="true">IF(OR(P234="Xong",P234="Bỏ"),"",IF(B234&lt;TODAY(),"Quá hạn",IF(B234=TODAY(),"Hôm nay","")))</f>
        <v/>
      </c>
      <c r="R234" s="79"/>
    </row>
    <row r="235" customFormat="false" ht="27.75" hidden="false" customHeight="true" outlineLevel="0" collapsed="false">
      <c r="A235" s="73" t="n">
        <v>232</v>
      </c>
      <c r="B235" s="74" t="n">
        <f aca="false">WORKDAY(Settings!$C$4-1,A235,Holidays!$A$5:$A$40)</f>
        <v>46652</v>
      </c>
      <c r="C235" s="73" t="s">
        <v>197</v>
      </c>
      <c r="D235" s="73" t="n">
        <f aca="false">INT((A235-1)/5)+1</f>
        <v>47</v>
      </c>
      <c r="E235" s="73" t="n">
        <f aca="false">MOD(A235-1,10)+1</f>
        <v>2</v>
      </c>
      <c r="F235" s="72" t="s">
        <v>172</v>
      </c>
      <c r="G235" s="73" t="s">
        <v>454</v>
      </c>
      <c r="H235" s="75" t="str">
        <f aca="false">IFERROR(INDEX(Roles!$D$5:$D$26,MATCH(G235,Roles!$A$5:$A$26,0)),"")</f>
        <v>medilens-ai-ml-engineer</v>
      </c>
      <c r="I235" s="24" t="s">
        <v>1308</v>
      </c>
      <c r="J235" s="24" t="s">
        <v>1309</v>
      </c>
      <c r="K235" s="24" t="s">
        <v>1310</v>
      </c>
      <c r="L235" s="24" t="s">
        <v>1311</v>
      </c>
      <c r="M235" s="73"/>
      <c r="N235" s="76" t="n">
        <f aca="false">Settings!$C$5</f>
        <v>4</v>
      </c>
      <c r="O235" s="77"/>
      <c r="P235" s="78" t="s">
        <v>74</v>
      </c>
      <c r="Q235" s="73" t="str">
        <f aca="true">IF(OR(P235="Xong",P235="Bỏ"),"",IF(B235&lt;TODAY(),"Quá hạn",IF(B235=TODAY(),"Hôm nay","")))</f>
        <v/>
      </c>
      <c r="R235" s="79"/>
    </row>
    <row r="236" customFormat="false" ht="27.75" hidden="false" customHeight="true" outlineLevel="0" collapsed="false">
      <c r="A236" s="73" t="n">
        <v>233</v>
      </c>
      <c r="B236" s="74" t="n">
        <f aca="false">WORKDAY(Settings!$C$4-1,A236,Holidays!$A$5:$A$40)</f>
        <v>46653</v>
      </c>
      <c r="C236" s="73" t="s">
        <v>197</v>
      </c>
      <c r="D236" s="73" t="n">
        <f aca="false">INT((A236-1)/5)+1</f>
        <v>47</v>
      </c>
      <c r="E236" s="73" t="n">
        <f aca="false">MOD(A236-1,10)+1</f>
        <v>3</v>
      </c>
      <c r="F236" s="72" t="s">
        <v>172</v>
      </c>
      <c r="G236" s="73" t="s">
        <v>579</v>
      </c>
      <c r="H236" s="75" t="str">
        <f aca="false">IFERROR(INDEX(Roles!$D$5:$D$26,MATCH(G236,Roles!$A$5:$A$26,0)),"")</f>
        <v>medilens-mlops-engineer</v>
      </c>
      <c r="I236" s="24" t="s">
        <v>1312</v>
      </c>
      <c r="J236" s="24" t="s">
        <v>1313</v>
      </c>
      <c r="K236" s="24" t="s">
        <v>1314</v>
      </c>
      <c r="L236" s="24" t="s">
        <v>1315</v>
      </c>
      <c r="M236" s="73"/>
      <c r="N236" s="76" t="n">
        <f aca="false">Settings!$C$5</f>
        <v>4</v>
      </c>
      <c r="O236" s="77"/>
      <c r="P236" s="78" t="s">
        <v>74</v>
      </c>
      <c r="Q236" s="73" t="str">
        <f aca="true">IF(OR(P236="Xong",P236="Bỏ"),"",IF(B236&lt;TODAY(),"Quá hạn",IF(B236=TODAY(),"Hôm nay","")))</f>
        <v/>
      </c>
      <c r="R236" s="79"/>
    </row>
    <row r="237" customFormat="false" ht="27.75" hidden="false" customHeight="true" outlineLevel="0" collapsed="false">
      <c r="A237" s="73" t="n">
        <v>234</v>
      </c>
      <c r="B237" s="74" t="n">
        <f aca="false">WORKDAY(Settings!$C$4-1,A237,Holidays!$A$5:$A$40)</f>
        <v>46654</v>
      </c>
      <c r="C237" s="73" t="s">
        <v>197</v>
      </c>
      <c r="D237" s="73" t="n">
        <f aca="false">INT((A237-1)/5)+1</f>
        <v>47</v>
      </c>
      <c r="E237" s="73" t="n">
        <f aca="false">MOD(A237-1,10)+1</f>
        <v>4</v>
      </c>
      <c r="F237" s="72" t="s">
        <v>172</v>
      </c>
      <c r="G237" s="73" t="s">
        <v>579</v>
      </c>
      <c r="H237" s="75" t="str">
        <f aca="false">IFERROR(INDEX(Roles!$D$5:$D$26,MATCH(G237,Roles!$A$5:$A$26,0)),"")</f>
        <v>medilens-mlops-engineer</v>
      </c>
      <c r="I237" s="24" t="s">
        <v>1316</v>
      </c>
      <c r="J237" s="24" t="s">
        <v>1317</v>
      </c>
      <c r="K237" s="24" t="s">
        <v>1318</v>
      </c>
      <c r="L237" s="24" t="s">
        <v>1319</v>
      </c>
      <c r="M237" s="73"/>
      <c r="N237" s="76" t="n">
        <f aca="false">Settings!$C$5</f>
        <v>4</v>
      </c>
      <c r="O237" s="77"/>
      <c r="P237" s="78" t="s">
        <v>74</v>
      </c>
      <c r="Q237" s="73" t="str">
        <f aca="true">IF(OR(P237="Xong",P237="Bỏ"),"",IF(B237&lt;TODAY(),"Quá hạn",IF(B237=TODAY(),"Hôm nay","")))</f>
        <v/>
      </c>
      <c r="R237" s="79"/>
    </row>
    <row r="238" customFormat="false" ht="27.75" hidden="false" customHeight="true" outlineLevel="0" collapsed="false">
      <c r="A238" s="73" t="n">
        <v>235</v>
      </c>
      <c r="B238" s="74" t="n">
        <f aca="false">WORKDAY(Settings!$C$4-1,A238,Holidays!$A$5:$A$40)</f>
        <v>46657</v>
      </c>
      <c r="C238" s="73" t="s">
        <v>197</v>
      </c>
      <c r="D238" s="73" t="n">
        <f aca="false">INT((A238-1)/5)+1</f>
        <v>47</v>
      </c>
      <c r="E238" s="73" t="n">
        <f aca="false">MOD(A238-1,10)+1</f>
        <v>5</v>
      </c>
      <c r="F238" s="72" t="s">
        <v>172</v>
      </c>
      <c r="G238" s="73" t="s">
        <v>454</v>
      </c>
      <c r="H238" s="75" t="str">
        <f aca="false">IFERROR(INDEX(Roles!$D$5:$D$26,MATCH(G238,Roles!$A$5:$A$26,0)),"")</f>
        <v>medilens-ai-ml-engineer</v>
      </c>
      <c r="I238" s="24" t="s">
        <v>1320</v>
      </c>
      <c r="J238" s="24" t="s">
        <v>1321</v>
      </c>
      <c r="K238" s="24" t="s">
        <v>1322</v>
      </c>
      <c r="L238" s="24" t="s">
        <v>1323</v>
      </c>
      <c r="M238" s="73"/>
      <c r="N238" s="76" t="n">
        <f aca="false">Settings!$C$5</f>
        <v>4</v>
      </c>
      <c r="O238" s="77"/>
      <c r="P238" s="78" t="s">
        <v>74</v>
      </c>
      <c r="Q238" s="73" t="str">
        <f aca="true">IF(OR(P238="Xong",P238="Bỏ"),"",IF(B238&lt;TODAY(),"Quá hạn",IF(B238=TODAY(),"Hôm nay","")))</f>
        <v/>
      </c>
      <c r="R238" s="79"/>
    </row>
    <row r="239" customFormat="false" ht="27.75" hidden="false" customHeight="true" outlineLevel="0" collapsed="false">
      <c r="A239" s="73" t="n">
        <v>236</v>
      </c>
      <c r="B239" s="74" t="n">
        <f aca="false">WORKDAY(Settings!$C$4-1,A239,Holidays!$A$5:$A$40)</f>
        <v>46658</v>
      </c>
      <c r="C239" s="73" t="s">
        <v>197</v>
      </c>
      <c r="D239" s="73" t="n">
        <f aca="false">INT((A239-1)/5)+1</f>
        <v>48</v>
      </c>
      <c r="E239" s="73" t="n">
        <f aca="false">MOD(A239-1,10)+1</f>
        <v>6</v>
      </c>
      <c r="F239" s="72" t="s">
        <v>172</v>
      </c>
      <c r="G239" s="73" t="s">
        <v>558</v>
      </c>
      <c r="H239" s="75" t="str">
        <f aca="false">IFERROR(INDEX(Roles!$D$5:$D$26,MATCH(G239,Roles!$A$5:$A$26,0)),"")</f>
        <v>medilens-data-engineer</v>
      </c>
      <c r="I239" s="24" t="s">
        <v>1324</v>
      </c>
      <c r="J239" s="24" t="s">
        <v>1325</v>
      </c>
      <c r="K239" s="24" t="s">
        <v>1326</v>
      </c>
      <c r="L239" s="24" t="s">
        <v>1327</v>
      </c>
      <c r="M239" s="73"/>
      <c r="N239" s="76" t="n">
        <f aca="false">Settings!$C$5</f>
        <v>4</v>
      </c>
      <c r="O239" s="77"/>
      <c r="P239" s="78" t="s">
        <v>74</v>
      </c>
      <c r="Q239" s="73" t="str">
        <f aca="true">IF(OR(P239="Xong",P239="Bỏ"),"",IF(B239&lt;TODAY(),"Quá hạn",IF(B239=TODAY(),"Hôm nay","")))</f>
        <v/>
      </c>
      <c r="R239" s="79"/>
    </row>
    <row r="240" customFormat="false" ht="27.75" hidden="false" customHeight="true" outlineLevel="0" collapsed="false">
      <c r="A240" s="73" t="n">
        <v>237</v>
      </c>
      <c r="B240" s="74" t="n">
        <f aca="false">WORKDAY(Settings!$C$4-1,A240,Holidays!$A$5:$A$40)</f>
        <v>46659</v>
      </c>
      <c r="C240" s="73" t="s">
        <v>197</v>
      </c>
      <c r="D240" s="73" t="n">
        <f aca="false">INT((A240-1)/5)+1</f>
        <v>48</v>
      </c>
      <c r="E240" s="73" t="n">
        <f aca="false">MOD(A240-1,10)+1</f>
        <v>7</v>
      </c>
      <c r="F240" s="72" t="s">
        <v>172</v>
      </c>
      <c r="G240" s="73" t="s">
        <v>517</v>
      </c>
      <c r="H240" s="75" t="str">
        <f aca="false">IFERROR(INDEX(Roles!$D$5:$D$26,MATCH(G240,Roles!$A$5:$A$26,0)),"")</f>
        <v>medilens-security-engineer</v>
      </c>
      <c r="I240" s="24" t="s">
        <v>1328</v>
      </c>
      <c r="J240" s="24" t="s">
        <v>1329</v>
      </c>
      <c r="K240" s="24" t="s">
        <v>1330</v>
      </c>
      <c r="L240" s="24" t="s">
        <v>1331</v>
      </c>
      <c r="M240" s="73"/>
      <c r="N240" s="76" t="n">
        <f aca="false">Settings!$C$5</f>
        <v>4</v>
      </c>
      <c r="O240" s="77"/>
      <c r="P240" s="78" t="s">
        <v>74</v>
      </c>
      <c r="Q240" s="73" t="str">
        <f aca="true">IF(OR(P240="Xong",P240="Bỏ"),"",IF(B240&lt;TODAY(),"Quá hạn",IF(B240=TODAY(),"Hôm nay","")))</f>
        <v/>
      </c>
      <c r="R240" s="79"/>
    </row>
    <row r="241" customFormat="false" ht="27.75" hidden="false" customHeight="true" outlineLevel="0" collapsed="false">
      <c r="A241" s="73" t="n">
        <v>238</v>
      </c>
      <c r="B241" s="74" t="n">
        <f aca="false">WORKDAY(Settings!$C$4-1,A241,Holidays!$A$5:$A$40)</f>
        <v>46660</v>
      </c>
      <c r="C241" s="73" t="s">
        <v>197</v>
      </c>
      <c r="D241" s="73" t="n">
        <f aca="false">INT((A241-1)/5)+1</f>
        <v>48</v>
      </c>
      <c r="E241" s="73" t="n">
        <f aca="false">MOD(A241-1,10)+1</f>
        <v>8</v>
      </c>
      <c r="F241" s="72" t="s">
        <v>172</v>
      </c>
      <c r="G241" s="73" t="s">
        <v>402</v>
      </c>
      <c r="H241" s="75" t="str">
        <f aca="false">IFERROR(INDEX(Roles!$D$5:$D$26,MATCH(G241,Roles!$A$5:$A$26,0)),"")</f>
        <v>medilens-regulatory-privacy-officer</v>
      </c>
      <c r="I241" s="24" t="s">
        <v>1332</v>
      </c>
      <c r="J241" s="24" t="s">
        <v>1333</v>
      </c>
      <c r="K241" s="24" t="s">
        <v>1334</v>
      </c>
      <c r="L241" s="24" t="s">
        <v>1335</v>
      </c>
      <c r="M241" s="73"/>
      <c r="N241" s="76" t="n">
        <f aca="false">Settings!$C$5</f>
        <v>4</v>
      </c>
      <c r="O241" s="77"/>
      <c r="P241" s="78" t="s">
        <v>74</v>
      </c>
      <c r="Q241" s="73" t="str">
        <f aca="true">IF(OR(P241="Xong",P241="Bỏ"),"",IF(B241&lt;TODAY(),"Quá hạn",IF(B241=TODAY(),"Hôm nay","")))</f>
        <v/>
      </c>
      <c r="R241" s="79"/>
    </row>
    <row r="242" customFormat="false" ht="27.75" hidden="false" customHeight="true" outlineLevel="0" collapsed="false">
      <c r="A242" s="73" t="n">
        <v>239</v>
      </c>
      <c r="B242" s="74" t="n">
        <f aca="false">WORKDAY(Settings!$C$4-1,A242,Holidays!$A$5:$A$40)</f>
        <v>46661</v>
      </c>
      <c r="C242" s="73" t="s">
        <v>197</v>
      </c>
      <c r="D242" s="73" t="n">
        <f aca="false">INT((A242-1)/5)+1</f>
        <v>48</v>
      </c>
      <c r="E242" s="73" t="n">
        <f aca="false">MOD(A242-1,10)+1</f>
        <v>9</v>
      </c>
      <c r="F242" s="72" t="s">
        <v>172</v>
      </c>
      <c r="G242" s="73" t="s">
        <v>563</v>
      </c>
      <c r="H242" s="75" t="str">
        <f aca="false">IFERROR(INDEX(Roles!$D$5:$D$26,MATCH(G242,Roles!$A$5:$A$26,0)),"")</f>
        <v>medilens-qa-engineer</v>
      </c>
      <c r="I242" s="24" t="s">
        <v>1336</v>
      </c>
      <c r="J242" s="24" t="s">
        <v>1337</v>
      </c>
      <c r="K242" s="24" t="s">
        <v>1338</v>
      </c>
      <c r="L242" s="24" t="s">
        <v>1339</v>
      </c>
      <c r="M242" s="73"/>
      <c r="N242" s="76" t="n">
        <f aca="false">Settings!$C$5</f>
        <v>4</v>
      </c>
      <c r="O242" s="77"/>
      <c r="P242" s="78" t="s">
        <v>74</v>
      </c>
      <c r="Q242" s="73" t="str">
        <f aca="true">IF(OR(P242="Xong",P242="Bỏ"),"",IF(B242&lt;TODAY(),"Quá hạn",IF(B242=TODAY(),"Hôm nay","")))</f>
        <v/>
      </c>
      <c r="R242" s="79"/>
    </row>
    <row r="243" customFormat="false" ht="27.75" hidden="false" customHeight="true" outlineLevel="0" collapsed="false">
      <c r="A243" s="73" t="n">
        <v>240</v>
      </c>
      <c r="B243" s="74" t="n">
        <f aca="false">WORKDAY(Settings!$C$4-1,A243,Holidays!$A$5:$A$40)</f>
        <v>46664</v>
      </c>
      <c r="C243" s="73" t="s">
        <v>197</v>
      </c>
      <c r="D243" s="73" t="n">
        <f aca="false">INT((A243-1)/5)+1</f>
        <v>48</v>
      </c>
      <c r="E243" s="73" t="n">
        <f aca="false">MOD(A243-1,10)+1</f>
        <v>10</v>
      </c>
      <c r="F243" s="72" t="s">
        <v>172</v>
      </c>
      <c r="G243" s="73" t="s">
        <v>393</v>
      </c>
      <c r="H243" s="75" t="str">
        <f aca="false">IFERROR(INDEX(Roles!$D$5:$D$26,MATCH(G243,Roles!$A$5:$A$26,0)),"")</f>
        <v>medilens-product-manager</v>
      </c>
      <c r="I243" s="24" t="s">
        <v>1080</v>
      </c>
      <c r="J243" s="24" t="s">
        <v>1081</v>
      </c>
      <c r="K243" s="24" t="s">
        <v>1340</v>
      </c>
      <c r="L243" s="24" t="s">
        <v>1341</v>
      </c>
      <c r="M243" s="73"/>
      <c r="N243" s="76" t="n">
        <f aca="false">Settings!$C$5</f>
        <v>4</v>
      </c>
      <c r="O243" s="77"/>
      <c r="P243" s="78" t="s">
        <v>74</v>
      </c>
      <c r="Q243" s="73" t="str">
        <f aca="true">IF(OR(P243="Xong",P243="Bỏ"),"",IF(B243&lt;TODAY(),"Quá hạn",IF(B243=TODAY(),"Hôm nay","")))</f>
        <v/>
      </c>
      <c r="R243" s="79"/>
    </row>
    <row r="244" customFormat="false" ht="27.75" hidden="false" customHeight="true" outlineLevel="0" collapsed="false">
      <c r="A244" s="73" t="n">
        <v>241</v>
      </c>
      <c r="B244" s="74" t="n">
        <f aca="false">WORKDAY(Settings!$C$4-1,A244,Holidays!$A$5:$A$40)</f>
        <v>46665</v>
      </c>
      <c r="C244" s="73" t="s">
        <v>198</v>
      </c>
      <c r="D244" s="73" t="n">
        <f aca="false">INT((A244-1)/5)+1</f>
        <v>49</v>
      </c>
      <c r="E244" s="73" t="n">
        <f aca="false">MOD(A244-1,10)+1</f>
        <v>1</v>
      </c>
      <c r="F244" s="72" t="s">
        <v>172</v>
      </c>
      <c r="G244" s="73" t="s">
        <v>596</v>
      </c>
      <c r="H244" s="75" t="str">
        <f aca="false">IFERROR(INDEX(Roles!$D$5:$D$26,MATCH(G244,Roles!$A$5:$A$26,0)),"")</f>
        <v>medilens-clinical-informaticist</v>
      </c>
      <c r="I244" s="24" t="s">
        <v>1342</v>
      </c>
      <c r="J244" s="24" t="s">
        <v>1343</v>
      </c>
      <c r="K244" s="24" t="s">
        <v>1344</v>
      </c>
      <c r="L244" s="24" t="s">
        <v>1345</v>
      </c>
      <c r="M244" s="73"/>
      <c r="N244" s="76" t="n">
        <f aca="false">Settings!$C$5</f>
        <v>4</v>
      </c>
      <c r="O244" s="77"/>
      <c r="P244" s="78" t="s">
        <v>74</v>
      </c>
      <c r="Q244" s="73" t="str">
        <f aca="true">IF(OR(P244="Xong",P244="Bỏ"),"",IF(B244&lt;TODAY(),"Quá hạn",IF(B244=TODAY(),"Hôm nay","")))</f>
        <v/>
      </c>
      <c r="R244" s="79"/>
    </row>
    <row r="245" customFormat="false" ht="27.75" hidden="false" customHeight="true" outlineLevel="0" collapsed="false">
      <c r="A245" s="73" t="n">
        <v>242</v>
      </c>
      <c r="B245" s="74" t="n">
        <f aca="false">WORKDAY(Settings!$C$4-1,A245,Holidays!$A$5:$A$40)</f>
        <v>46666</v>
      </c>
      <c r="C245" s="73" t="s">
        <v>198</v>
      </c>
      <c r="D245" s="73" t="n">
        <f aca="false">INT((A245-1)/5)+1</f>
        <v>49</v>
      </c>
      <c r="E245" s="73" t="n">
        <f aca="false">MOD(A245-1,10)+1</f>
        <v>2</v>
      </c>
      <c r="F245" s="72" t="s">
        <v>172</v>
      </c>
      <c r="G245" s="73" t="s">
        <v>503</v>
      </c>
      <c r="H245" s="75" t="str">
        <f aca="false">IFERROR(INDEX(Roles!$D$5:$D$26,MATCH(G245,Roles!$A$5:$A$26,0)),"")</f>
        <v>medilens-backend-engineer</v>
      </c>
      <c r="I245" s="24" t="s">
        <v>1346</v>
      </c>
      <c r="J245" s="24" t="s">
        <v>1347</v>
      </c>
      <c r="K245" s="24" t="s">
        <v>1348</v>
      </c>
      <c r="L245" s="24" t="s">
        <v>1349</v>
      </c>
      <c r="M245" s="73"/>
      <c r="N245" s="76" t="n">
        <f aca="false">Settings!$C$5</f>
        <v>4</v>
      </c>
      <c r="O245" s="77"/>
      <c r="P245" s="78" t="s">
        <v>74</v>
      </c>
      <c r="Q245" s="73" t="str">
        <f aca="true">IF(OR(P245="Xong",P245="Bỏ"),"",IF(B245&lt;TODAY(),"Quá hạn",IF(B245=TODAY(),"Hôm nay","")))</f>
        <v/>
      </c>
      <c r="R245" s="79"/>
    </row>
    <row r="246" customFormat="false" ht="27.75" hidden="false" customHeight="true" outlineLevel="0" collapsed="false">
      <c r="A246" s="73" t="n">
        <v>243</v>
      </c>
      <c r="B246" s="74" t="n">
        <f aca="false">WORKDAY(Settings!$C$4-1,A246,Holidays!$A$5:$A$40)</f>
        <v>46667</v>
      </c>
      <c r="C246" s="73" t="s">
        <v>198</v>
      </c>
      <c r="D246" s="73" t="n">
        <f aca="false">INT((A246-1)/5)+1</f>
        <v>49</v>
      </c>
      <c r="E246" s="73" t="n">
        <f aca="false">MOD(A246-1,10)+1</f>
        <v>3</v>
      </c>
      <c r="F246" s="72" t="s">
        <v>172</v>
      </c>
      <c r="G246" s="73" t="s">
        <v>517</v>
      </c>
      <c r="H246" s="75" t="str">
        <f aca="false">IFERROR(INDEX(Roles!$D$5:$D$26,MATCH(G246,Roles!$A$5:$A$26,0)),"")</f>
        <v>medilens-security-engineer</v>
      </c>
      <c r="I246" s="24" t="s">
        <v>1350</v>
      </c>
      <c r="J246" s="24" t="s">
        <v>1351</v>
      </c>
      <c r="K246" s="24" t="s">
        <v>1352</v>
      </c>
      <c r="L246" s="24" t="s">
        <v>1353</v>
      </c>
      <c r="M246" s="73"/>
      <c r="N246" s="76" t="n">
        <f aca="false">Settings!$C$5</f>
        <v>4</v>
      </c>
      <c r="O246" s="77"/>
      <c r="P246" s="78" t="s">
        <v>74</v>
      </c>
      <c r="Q246" s="73" t="str">
        <f aca="true">IF(OR(P246="Xong",P246="Bỏ"),"",IF(B246&lt;TODAY(),"Quá hạn",IF(B246=TODAY(),"Hôm nay","")))</f>
        <v/>
      </c>
      <c r="R246" s="79"/>
    </row>
    <row r="247" customFormat="false" ht="27.75" hidden="false" customHeight="true" outlineLevel="0" collapsed="false">
      <c r="A247" s="73" t="n">
        <v>244</v>
      </c>
      <c r="B247" s="74" t="n">
        <f aca="false">WORKDAY(Settings!$C$4-1,A247,Holidays!$A$5:$A$40)</f>
        <v>46668</v>
      </c>
      <c r="C247" s="73" t="s">
        <v>198</v>
      </c>
      <c r="D247" s="73" t="n">
        <f aca="false">INT((A247-1)/5)+1</f>
        <v>49</v>
      </c>
      <c r="E247" s="73" t="n">
        <f aca="false">MOD(A247-1,10)+1</f>
        <v>4</v>
      </c>
      <c r="F247" s="72" t="s">
        <v>172</v>
      </c>
      <c r="G247" s="73" t="s">
        <v>429</v>
      </c>
      <c r="H247" s="75" t="str">
        <f aca="false">IFERROR(INDEX(Roles!$D$5:$D$26,MATCH(G247,Roles!$A$5:$A$26,0)),"")</f>
        <v>medilens-clinical-safety-officer</v>
      </c>
      <c r="I247" s="24" t="s">
        <v>1354</v>
      </c>
      <c r="J247" s="24" t="s">
        <v>1355</v>
      </c>
      <c r="K247" s="24" t="s">
        <v>1356</v>
      </c>
      <c r="L247" s="24" t="s">
        <v>1357</v>
      </c>
      <c r="M247" s="73"/>
      <c r="N247" s="76" t="n">
        <f aca="false">Settings!$C$5</f>
        <v>4</v>
      </c>
      <c r="O247" s="77"/>
      <c r="P247" s="78" t="s">
        <v>74</v>
      </c>
      <c r="Q247" s="73" t="str">
        <f aca="true">IF(OR(P247="Xong",P247="Bỏ"),"",IF(B247&lt;TODAY(),"Quá hạn",IF(B247=TODAY(),"Hôm nay","")))</f>
        <v/>
      </c>
      <c r="R247" s="79"/>
    </row>
    <row r="248" customFormat="false" ht="27.75" hidden="false" customHeight="true" outlineLevel="0" collapsed="false">
      <c r="A248" s="73" t="n">
        <v>245</v>
      </c>
      <c r="B248" s="74" t="n">
        <f aca="false">WORKDAY(Settings!$C$4-1,A248,Holidays!$A$5:$A$40)</f>
        <v>46671</v>
      </c>
      <c r="C248" s="73" t="s">
        <v>198</v>
      </c>
      <c r="D248" s="73" t="n">
        <f aca="false">INT((A248-1)/5)+1</f>
        <v>49</v>
      </c>
      <c r="E248" s="73" t="n">
        <f aca="false">MOD(A248-1,10)+1</f>
        <v>5</v>
      </c>
      <c r="F248" s="72" t="s">
        <v>172</v>
      </c>
      <c r="G248" s="73" t="s">
        <v>563</v>
      </c>
      <c r="H248" s="75" t="str">
        <f aca="false">IFERROR(INDEX(Roles!$D$5:$D$26,MATCH(G248,Roles!$A$5:$A$26,0)),"")</f>
        <v>medilens-qa-engineer</v>
      </c>
      <c r="I248" s="24" t="s">
        <v>1358</v>
      </c>
      <c r="J248" s="24" t="s">
        <v>1359</v>
      </c>
      <c r="K248" s="24" t="s">
        <v>869</v>
      </c>
      <c r="L248" s="24" t="s">
        <v>1360</v>
      </c>
      <c r="M248" s="73"/>
      <c r="N248" s="76" t="n">
        <f aca="false">Settings!$C$5</f>
        <v>4</v>
      </c>
      <c r="O248" s="77"/>
      <c r="P248" s="78" t="s">
        <v>74</v>
      </c>
      <c r="Q248" s="73" t="str">
        <f aca="true">IF(OR(P248="Xong",P248="Bỏ"),"",IF(B248&lt;TODAY(),"Quá hạn",IF(B248=TODAY(),"Hôm nay","")))</f>
        <v/>
      </c>
      <c r="R248" s="79"/>
    </row>
    <row r="249" customFormat="false" ht="27.75" hidden="false" customHeight="true" outlineLevel="0" collapsed="false">
      <c r="A249" s="73" t="n">
        <v>246</v>
      </c>
      <c r="B249" s="74" t="n">
        <f aca="false">WORKDAY(Settings!$C$4-1,A249,Holidays!$A$5:$A$40)</f>
        <v>46672</v>
      </c>
      <c r="C249" s="73" t="s">
        <v>198</v>
      </c>
      <c r="D249" s="73" t="n">
        <f aca="false">INT((A249-1)/5)+1</f>
        <v>50</v>
      </c>
      <c r="E249" s="73" t="n">
        <f aca="false">MOD(A249-1,10)+1</f>
        <v>6</v>
      </c>
      <c r="F249" s="72" t="s">
        <v>172</v>
      </c>
      <c r="G249" s="73" t="s">
        <v>879</v>
      </c>
      <c r="H249" s="75" t="str">
        <f aca="false">IFERROR(INDEX(Roles!$D$5:$D$26,MATCH(G249,Roles!$A$5:$A$26,0)),"")</f>
        <v>medilens-sre-operations</v>
      </c>
      <c r="I249" s="24" t="s">
        <v>1361</v>
      </c>
      <c r="J249" s="24" t="s">
        <v>1362</v>
      </c>
      <c r="K249" s="24" t="s">
        <v>1363</v>
      </c>
      <c r="L249" s="24" t="s">
        <v>1364</v>
      </c>
      <c r="M249" s="73"/>
      <c r="N249" s="76" t="n">
        <f aca="false">Settings!$C$5</f>
        <v>4</v>
      </c>
      <c r="O249" s="77"/>
      <c r="P249" s="78" t="s">
        <v>74</v>
      </c>
      <c r="Q249" s="73" t="str">
        <f aca="true">IF(OR(P249="Xong",P249="Bỏ"),"",IF(B249&lt;TODAY(),"Quá hạn",IF(B249=TODAY(),"Hôm nay","")))</f>
        <v/>
      </c>
      <c r="R249" s="79"/>
    </row>
    <row r="250" customFormat="false" ht="27.75" hidden="false" customHeight="true" outlineLevel="0" collapsed="false">
      <c r="A250" s="73" t="n">
        <v>247</v>
      </c>
      <c r="B250" s="74" t="n">
        <f aca="false">WORKDAY(Settings!$C$4-1,A250,Holidays!$A$5:$A$40)</f>
        <v>46673</v>
      </c>
      <c r="C250" s="73" t="s">
        <v>198</v>
      </c>
      <c r="D250" s="73" t="n">
        <f aca="false">INT((A250-1)/5)+1</f>
        <v>50</v>
      </c>
      <c r="E250" s="73" t="n">
        <f aca="false">MOD(A250-1,10)+1</f>
        <v>7</v>
      </c>
      <c r="F250" s="72" t="s">
        <v>172</v>
      </c>
      <c r="G250" s="73" t="s">
        <v>643</v>
      </c>
      <c r="H250" s="75" t="str">
        <f aca="false">IFERROR(INDEX(Roles!$D$5:$D$26,MATCH(G250,Roles!$A$5:$A$26,0)),"")</f>
        <v>medilens-technical-writer</v>
      </c>
      <c r="I250" s="24" t="s">
        <v>1365</v>
      </c>
      <c r="J250" s="24" t="s">
        <v>1366</v>
      </c>
      <c r="K250" s="24" t="s">
        <v>1367</v>
      </c>
      <c r="L250" s="24" t="s">
        <v>1368</v>
      </c>
      <c r="M250" s="73"/>
      <c r="N250" s="76" t="n">
        <f aca="false">Settings!$C$5</f>
        <v>4</v>
      </c>
      <c r="O250" s="77"/>
      <c r="P250" s="78" t="s">
        <v>74</v>
      </c>
      <c r="Q250" s="73" t="str">
        <f aca="true">IF(OR(P250="Xong",P250="Bỏ"),"",IF(B250&lt;TODAY(),"Quá hạn",IF(B250=TODAY(),"Hôm nay","")))</f>
        <v/>
      </c>
      <c r="R250" s="79"/>
    </row>
    <row r="251" customFormat="false" ht="27.75" hidden="false" customHeight="true" outlineLevel="0" collapsed="false">
      <c r="A251" s="73" t="n">
        <v>248</v>
      </c>
      <c r="B251" s="74" t="n">
        <f aca="false">WORKDAY(Settings!$C$4-1,A251,Holidays!$A$5:$A$40)</f>
        <v>46674</v>
      </c>
      <c r="C251" s="73" t="s">
        <v>198</v>
      </c>
      <c r="D251" s="73" t="n">
        <f aca="false">INT((A251-1)/5)+1</f>
        <v>50</v>
      </c>
      <c r="E251" s="73" t="n">
        <f aca="false">MOD(A251-1,10)+1</f>
        <v>8</v>
      </c>
      <c r="F251" s="72" t="s">
        <v>172</v>
      </c>
      <c r="G251" s="73" t="s">
        <v>952</v>
      </c>
      <c r="H251" s="75" t="str">
        <f aca="false">IFERROR(INDEX(Roles!$D$5:$D$26,MATCH(G251,Roles!$A$5:$A$26,0)),"")</f>
        <v>medilens-support-success</v>
      </c>
      <c r="I251" s="24" t="s">
        <v>1369</v>
      </c>
      <c r="J251" s="24" t="s">
        <v>1370</v>
      </c>
      <c r="K251" s="24" t="s">
        <v>1371</v>
      </c>
      <c r="L251" s="24" t="s">
        <v>1372</v>
      </c>
      <c r="M251" s="73"/>
      <c r="N251" s="76" t="n">
        <f aca="false">Settings!$C$5</f>
        <v>4</v>
      </c>
      <c r="O251" s="77"/>
      <c r="P251" s="78" t="s">
        <v>74</v>
      </c>
      <c r="Q251" s="73" t="str">
        <f aca="true">IF(OR(P251="Xong",P251="Bỏ"),"",IF(B251&lt;TODAY(),"Quá hạn",IF(B251=TODAY(),"Hôm nay","")))</f>
        <v/>
      </c>
      <c r="R251" s="79"/>
    </row>
    <row r="252" customFormat="false" ht="27.75" hidden="false" customHeight="true" outlineLevel="0" collapsed="false">
      <c r="A252" s="73" t="n">
        <v>249</v>
      </c>
      <c r="B252" s="74" t="n">
        <f aca="false">WORKDAY(Settings!$C$4-1,A252,Holidays!$A$5:$A$40)</f>
        <v>46675</v>
      </c>
      <c r="C252" s="73" t="s">
        <v>198</v>
      </c>
      <c r="D252" s="73" t="n">
        <f aca="false">INT((A252-1)/5)+1</f>
        <v>50</v>
      </c>
      <c r="E252" s="73" t="n">
        <f aca="false">MOD(A252-1,10)+1</f>
        <v>9</v>
      </c>
      <c r="F252" s="72" t="s">
        <v>172</v>
      </c>
      <c r="G252" s="73" t="s">
        <v>477</v>
      </c>
      <c r="H252" s="75" t="str">
        <f aca="false">IFERROR(INDEX(Roles!$D$5:$D$26,MATCH(G252,Roles!$A$5:$A$26,0)),"")</f>
        <v>medilens-qc-release-gatekeeper</v>
      </c>
      <c r="I252" s="24" t="s">
        <v>1373</v>
      </c>
      <c r="J252" s="24" t="s">
        <v>1374</v>
      </c>
      <c r="K252" s="24" t="s">
        <v>1375</v>
      </c>
      <c r="L252" s="24" t="s">
        <v>1376</v>
      </c>
      <c r="M252" s="73"/>
      <c r="N252" s="76" t="n">
        <f aca="false">Settings!$C$5</f>
        <v>4</v>
      </c>
      <c r="O252" s="77"/>
      <c r="P252" s="78" t="s">
        <v>74</v>
      </c>
      <c r="Q252" s="73" t="str">
        <f aca="true">IF(OR(P252="Xong",P252="Bỏ"),"",IF(B252&lt;TODAY(),"Quá hạn",IF(B252=TODAY(),"Hôm nay","")))</f>
        <v/>
      </c>
      <c r="R252" s="79"/>
    </row>
    <row r="253" customFormat="false" ht="27.75" hidden="false" customHeight="true" outlineLevel="0" collapsed="false">
      <c r="A253" s="73" t="n">
        <v>250</v>
      </c>
      <c r="B253" s="74" t="n">
        <f aca="false">WORKDAY(Settings!$C$4-1,A253,Holidays!$A$5:$A$40)</f>
        <v>46678</v>
      </c>
      <c r="C253" s="73" t="s">
        <v>198</v>
      </c>
      <c r="D253" s="73" t="n">
        <f aca="false">INT((A253-1)/5)+1</f>
        <v>50</v>
      </c>
      <c r="E253" s="73" t="n">
        <f aca="false">MOD(A253-1,10)+1</f>
        <v>10</v>
      </c>
      <c r="F253" s="72" t="s">
        <v>172</v>
      </c>
      <c r="G253" s="73" t="s">
        <v>393</v>
      </c>
      <c r="H253" s="75" t="str">
        <f aca="false">IFERROR(INDEX(Roles!$D$5:$D$26,MATCH(G253,Roles!$A$5:$A$26,0)),"")</f>
        <v>medilens-product-manager</v>
      </c>
      <c r="I253" s="24" t="s">
        <v>1377</v>
      </c>
      <c r="J253" s="24" t="s">
        <v>1378</v>
      </c>
      <c r="K253" s="24" t="s">
        <v>1379</v>
      </c>
      <c r="L253" s="24" t="s">
        <v>1380</v>
      </c>
      <c r="M253" s="73"/>
      <c r="N253" s="76" t="n">
        <f aca="false">Settings!$C$5</f>
        <v>4</v>
      </c>
      <c r="O253" s="77"/>
      <c r="P253" s="78" t="s">
        <v>74</v>
      </c>
      <c r="Q253" s="73" t="str">
        <f aca="true">IF(OR(P253="Xong",P253="Bỏ"),"",IF(B253&lt;TODAY(),"Quá hạn",IF(B253=TODAY(),"Hôm nay","")))</f>
        <v/>
      </c>
      <c r="R253" s="79"/>
    </row>
    <row r="254" customFormat="false" ht="27.75" hidden="false" customHeight="true" outlineLevel="0" collapsed="false">
      <c r="A254" s="73" t="n">
        <v>251</v>
      </c>
      <c r="B254" s="74" t="n">
        <f aca="false">WORKDAY(Settings!$C$4-1,A254,Holidays!$A$5:$A$40)</f>
        <v>46679</v>
      </c>
      <c r="C254" s="73" t="s">
        <v>176</v>
      </c>
      <c r="D254" s="73" t="n">
        <f aca="false">INT((A254-1)/5)+1</f>
        <v>51</v>
      </c>
      <c r="E254" s="73" t="n">
        <f aca="false">MOD(A254-1,10)+1</f>
        <v>1</v>
      </c>
      <c r="F254" s="72" t="s">
        <v>172</v>
      </c>
      <c r="G254" s="73" t="s">
        <v>393</v>
      </c>
      <c r="H254" s="75" t="str">
        <f aca="false">IFERROR(INDEX(Roles!$D$5:$D$26,MATCH(G254,Roles!$A$5:$A$26,0)),"")</f>
        <v>medilens-product-manager</v>
      </c>
      <c r="I254" s="24" t="s">
        <v>1381</v>
      </c>
      <c r="J254" s="24" t="s">
        <v>1382</v>
      </c>
      <c r="K254" s="24" t="s">
        <v>1383</v>
      </c>
      <c r="L254" s="24" t="s">
        <v>1384</v>
      </c>
      <c r="M254" s="73"/>
      <c r="N254" s="76" t="n">
        <f aca="false">Settings!$C$5</f>
        <v>4</v>
      </c>
      <c r="O254" s="77"/>
      <c r="P254" s="78" t="s">
        <v>74</v>
      </c>
      <c r="Q254" s="73" t="str">
        <f aca="true">IF(OR(P254="Xong",P254="Bỏ"),"",IF(B254&lt;TODAY(),"Quá hạn",IF(B254=TODAY(),"Hôm nay","")))</f>
        <v/>
      </c>
      <c r="R254" s="79"/>
    </row>
    <row r="255" customFormat="false" ht="27.75" hidden="false" customHeight="true" outlineLevel="0" collapsed="false">
      <c r="A255" s="73" t="n">
        <v>252</v>
      </c>
      <c r="B255" s="74" t="n">
        <f aca="false">WORKDAY(Settings!$C$4-1,A255,Holidays!$A$5:$A$40)</f>
        <v>46680</v>
      </c>
      <c r="C255" s="73" t="s">
        <v>176</v>
      </c>
      <c r="D255" s="73" t="n">
        <f aca="false">INT((A255-1)/5)+1</f>
        <v>51</v>
      </c>
      <c r="E255" s="73" t="n">
        <f aca="false">MOD(A255-1,10)+1</f>
        <v>2</v>
      </c>
      <c r="F255" s="72" t="s">
        <v>172</v>
      </c>
      <c r="G255" s="73" t="s">
        <v>486</v>
      </c>
      <c r="H255" s="75" t="str">
        <f aca="false">IFERROR(INDEX(Roles!$D$5:$D$26,MATCH(G255,Roles!$A$5:$A$26,0)),"")</f>
        <v>medilens-cloud-devops-engineer</v>
      </c>
      <c r="I255" s="24" t="s">
        <v>1385</v>
      </c>
      <c r="J255" s="24" t="s">
        <v>1386</v>
      </c>
      <c r="K255" s="24" t="s">
        <v>1387</v>
      </c>
      <c r="L255" s="24" t="s">
        <v>1026</v>
      </c>
      <c r="M255" s="73"/>
      <c r="N255" s="76" t="n">
        <f aca="false">Settings!$C$5</f>
        <v>4</v>
      </c>
      <c r="O255" s="77"/>
      <c r="P255" s="78" t="s">
        <v>74</v>
      </c>
      <c r="Q255" s="73" t="str">
        <f aca="true">IF(OR(P255="Xong",P255="Bỏ"),"",IF(B255&lt;TODAY(),"Quá hạn",IF(B255=TODAY(),"Hôm nay","")))</f>
        <v/>
      </c>
      <c r="R255" s="79"/>
    </row>
    <row r="256" customFormat="false" ht="27.75" hidden="false" customHeight="true" outlineLevel="0" collapsed="false">
      <c r="A256" s="73" t="n">
        <v>253</v>
      </c>
      <c r="B256" s="74" t="n">
        <f aca="false">WORKDAY(Settings!$C$4-1,A256,Holidays!$A$5:$A$40)</f>
        <v>46681</v>
      </c>
      <c r="C256" s="73" t="s">
        <v>176</v>
      </c>
      <c r="D256" s="73" t="n">
        <f aca="false">INT((A256-1)/5)+1</f>
        <v>51</v>
      </c>
      <c r="E256" s="73" t="n">
        <f aca="false">MOD(A256-1,10)+1</f>
        <v>3</v>
      </c>
      <c r="F256" s="72" t="s">
        <v>172</v>
      </c>
      <c r="G256" s="73" t="s">
        <v>879</v>
      </c>
      <c r="H256" s="75" t="str">
        <f aca="false">IFERROR(INDEX(Roles!$D$5:$D$26,MATCH(G256,Roles!$A$5:$A$26,0)),"")</f>
        <v>medilens-sre-operations</v>
      </c>
      <c r="I256" s="24" t="s">
        <v>1388</v>
      </c>
      <c r="J256" s="24" t="s">
        <v>1389</v>
      </c>
      <c r="K256" s="24" t="s">
        <v>1390</v>
      </c>
      <c r="L256" s="24" t="s">
        <v>1030</v>
      </c>
      <c r="M256" s="73"/>
      <c r="N256" s="76" t="n">
        <f aca="false">Settings!$C$5</f>
        <v>4</v>
      </c>
      <c r="O256" s="77"/>
      <c r="P256" s="78" t="s">
        <v>74</v>
      </c>
      <c r="Q256" s="73" t="str">
        <f aca="true">IF(OR(P256="Xong",P256="Bỏ"),"",IF(B256&lt;TODAY(),"Quá hạn",IF(B256=TODAY(),"Hôm nay","")))</f>
        <v/>
      </c>
      <c r="R256" s="79"/>
    </row>
    <row r="257" customFormat="false" ht="27.75" hidden="false" customHeight="true" outlineLevel="0" collapsed="false">
      <c r="A257" s="73" t="n">
        <v>254</v>
      </c>
      <c r="B257" s="74" t="n">
        <f aca="false">WORKDAY(Settings!$C$4-1,A257,Holidays!$A$5:$A$40)</f>
        <v>46682</v>
      </c>
      <c r="C257" s="73" t="s">
        <v>176</v>
      </c>
      <c r="D257" s="73" t="n">
        <f aca="false">INT((A257-1)/5)+1</f>
        <v>51</v>
      </c>
      <c r="E257" s="73" t="n">
        <f aca="false">MOD(A257-1,10)+1</f>
        <v>4</v>
      </c>
      <c r="F257" s="72" t="s">
        <v>172</v>
      </c>
      <c r="G257" s="73" t="s">
        <v>393</v>
      </c>
      <c r="H257" s="75" t="str">
        <f aca="false">IFERROR(INDEX(Roles!$D$5:$D$26,MATCH(G257,Roles!$A$5:$A$26,0)),"")</f>
        <v>medilens-product-manager</v>
      </c>
      <c r="I257" s="24" t="s">
        <v>1391</v>
      </c>
      <c r="J257" s="24" t="s">
        <v>1392</v>
      </c>
      <c r="K257" s="24" t="s">
        <v>1393</v>
      </c>
      <c r="L257" s="24" t="s">
        <v>1394</v>
      </c>
      <c r="M257" s="73"/>
      <c r="N257" s="76" t="n">
        <f aca="false">Settings!$C$5</f>
        <v>4</v>
      </c>
      <c r="O257" s="77"/>
      <c r="P257" s="78" t="s">
        <v>74</v>
      </c>
      <c r="Q257" s="73" t="str">
        <f aca="true">IF(OR(P257="Xong",P257="Bỏ"),"",IF(B257&lt;TODAY(),"Quá hạn",IF(B257=TODAY(),"Hôm nay","")))</f>
        <v/>
      </c>
      <c r="R257" s="79"/>
    </row>
    <row r="258" customFormat="false" ht="27.75" hidden="false" customHeight="true" outlineLevel="0" collapsed="false">
      <c r="A258" s="73" t="n">
        <v>255</v>
      </c>
      <c r="B258" s="74" t="n">
        <f aca="false">WORKDAY(Settings!$C$4-1,A258,Holidays!$A$5:$A$40)</f>
        <v>46685</v>
      </c>
      <c r="C258" s="73" t="s">
        <v>176</v>
      </c>
      <c r="D258" s="73" t="n">
        <f aca="false">INT((A258-1)/5)+1</f>
        <v>51</v>
      </c>
      <c r="E258" s="73" t="n">
        <f aca="false">MOD(A258-1,10)+1</f>
        <v>5</v>
      </c>
      <c r="F258" s="72" t="s">
        <v>172</v>
      </c>
      <c r="G258" s="73" t="s">
        <v>393</v>
      </c>
      <c r="H258" s="75" t="str">
        <f aca="false">IFERROR(INDEX(Roles!$D$5:$D$26,MATCH(G258,Roles!$A$5:$A$26,0)),"")</f>
        <v>medilens-product-manager</v>
      </c>
      <c r="I258" s="24" t="s">
        <v>1395</v>
      </c>
      <c r="J258" s="24" t="s">
        <v>1396</v>
      </c>
      <c r="K258" s="24" t="s">
        <v>1397</v>
      </c>
      <c r="L258" s="24" t="s">
        <v>1398</v>
      </c>
      <c r="M258" s="73"/>
      <c r="N258" s="76" t="n">
        <f aca="false">Settings!$C$5</f>
        <v>4</v>
      </c>
      <c r="O258" s="77"/>
      <c r="P258" s="78" t="s">
        <v>74</v>
      </c>
      <c r="Q258" s="73" t="str">
        <f aca="true">IF(OR(P258="Xong",P258="Bỏ"),"",IF(B258&lt;TODAY(),"Quá hạn",IF(B258=TODAY(),"Hôm nay","")))</f>
        <v/>
      </c>
      <c r="R258" s="79"/>
    </row>
    <row r="259" customFormat="false" ht="31.5" hidden="false" customHeight="true" outlineLevel="0" collapsed="false">
      <c r="A259" s="73" t="n">
        <v>256</v>
      </c>
      <c r="B259" s="74" t="n">
        <f aca="false">WORKDAY(Settings!$C$4-1,A259,Holidays!$A$5:$A$40)</f>
        <v>46686</v>
      </c>
      <c r="C259" s="73" t="s">
        <v>176</v>
      </c>
      <c r="D259" s="73" t="n">
        <f aca="false">INT((A259-1)/5)+1</f>
        <v>52</v>
      </c>
      <c r="E259" s="73" t="n">
        <f aca="false">MOD(A259-1,10)+1</f>
        <v>6</v>
      </c>
      <c r="F259" s="72" t="s">
        <v>172</v>
      </c>
      <c r="G259" s="73" t="s">
        <v>402</v>
      </c>
      <c r="H259" s="75" t="str">
        <f aca="false">IFERROR(INDEX(Roles!$D$5:$D$26,MATCH(G259,Roles!$A$5:$A$26,0)),"")</f>
        <v>medilens-regulatory-privacy-officer</v>
      </c>
      <c r="I259" s="24" t="s">
        <v>1399</v>
      </c>
      <c r="J259" s="24" t="s">
        <v>1400</v>
      </c>
      <c r="K259" s="24" t="s">
        <v>1401</v>
      </c>
      <c r="L259" s="24" t="s">
        <v>1335</v>
      </c>
      <c r="M259" s="73"/>
      <c r="N259" s="76" t="n">
        <f aca="false">Settings!$C$5</f>
        <v>4</v>
      </c>
      <c r="O259" s="77"/>
      <c r="P259" s="78" t="s">
        <v>74</v>
      </c>
      <c r="Q259" s="73" t="str">
        <f aca="true">IF(OR(P259="Xong",P259="Bỏ"),"",IF(B259&lt;TODAY(),"Quá hạn",IF(B259=TODAY(),"Hôm nay","")))</f>
        <v/>
      </c>
      <c r="R259" s="79"/>
    </row>
    <row r="260" customFormat="false" ht="31.5" hidden="false" customHeight="true" outlineLevel="0" collapsed="false">
      <c r="A260" s="73" t="n">
        <v>257</v>
      </c>
      <c r="B260" s="74" t="n">
        <f aca="false">WORKDAY(Settings!$C$4-1,A260,Holidays!$A$5:$A$40)</f>
        <v>46687</v>
      </c>
      <c r="C260" s="73" t="s">
        <v>176</v>
      </c>
      <c r="D260" s="73" t="n">
        <f aca="false">INT((A260-1)/5)+1</f>
        <v>52</v>
      </c>
      <c r="E260" s="73" t="n">
        <f aca="false">MOD(A260-1,10)+1</f>
        <v>7</v>
      </c>
      <c r="F260" s="72" t="s">
        <v>172</v>
      </c>
      <c r="G260" s="73" t="s">
        <v>879</v>
      </c>
      <c r="H260" s="75" t="str">
        <f aca="false">IFERROR(INDEX(Roles!$D$5:$D$26,MATCH(G260,Roles!$A$5:$A$26,0)),"")</f>
        <v>medilens-sre-operations</v>
      </c>
      <c r="I260" s="24" t="s">
        <v>1402</v>
      </c>
      <c r="J260" s="24" t="s">
        <v>1403</v>
      </c>
      <c r="K260" s="24" t="s">
        <v>1404</v>
      </c>
      <c r="L260" s="24" t="s">
        <v>1405</v>
      </c>
      <c r="M260" s="73"/>
      <c r="N260" s="76" t="n">
        <f aca="false">Settings!$C$5</f>
        <v>4</v>
      </c>
      <c r="O260" s="77"/>
      <c r="P260" s="78" t="s">
        <v>74</v>
      </c>
      <c r="Q260" s="73" t="str">
        <f aca="true">IF(OR(P260="Xong",P260="Bỏ"),"",IF(B260&lt;TODAY(),"Quá hạn",IF(B260=TODAY(),"Hôm nay","")))</f>
        <v/>
      </c>
      <c r="R260" s="79"/>
    </row>
    <row r="261" customFormat="false" ht="27.75" hidden="false" customHeight="true" outlineLevel="0" collapsed="false">
      <c r="A261" s="73" t="n">
        <v>258</v>
      </c>
      <c r="B261" s="74" t="n">
        <f aca="false">WORKDAY(Settings!$C$4-1,A261,Holidays!$A$5:$A$40)</f>
        <v>46688</v>
      </c>
      <c r="C261" s="73" t="s">
        <v>176</v>
      </c>
      <c r="D261" s="73" t="n">
        <f aca="false">INT((A261-1)/5)+1</f>
        <v>52</v>
      </c>
      <c r="E261" s="73" t="n">
        <f aca="false">MOD(A261-1,10)+1</f>
        <v>8</v>
      </c>
      <c r="F261" s="72" t="s">
        <v>172</v>
      </c>
      <c r="G261" s="73" t="s">
        <v>393</v>
      </c>
      <c r="H261" s="75" t="str">
        <f aca="false">IFERROR(INDEX(Roles!$D$5:$D$26,MATCH(G261,Roles!$A$5:$A$26,0)),"")</f>
        <v>medilens-product-manager</v>
      </c>
      <c r="I261" s="24" t="s">
        <v>1406</v>
      </c>
      <c r="J261" s="24" t="s">
        <v>1407</v>
      </c>
      <c r="K261" s="24" t="s">
        <v>1408</v>
      </c>
      <c r="L261" s="24" t="s">
        <v>1409</v>
      </c>
      <c r="M261" s="73"/>
      <c r="N261" s="76" t="n">
        <f aca="false">Settings!$C$5</f>
        <v>4</v>
      </c>
      <c r="O261" s="77"/>
      <c r="P261" s="78" t="s">
        <v>74</v>
      </c>
      <c r="Q261" s="73" t="str">
        <f aca="true">IF(OR(P261="Xong",P261="Bỏ"),"",IF(B261&lt;TODAY(),"Quá hạn",IF(B261=TODAY(),"Hôm nay","")))</f>
        <v/>
      </c>
      <c r="R261" s="79"/>
    </row>
    <row r="262" customFormat="false" ht="27.75" hidden="false" customHeight="true" outlineLevel="0" collapsed="false">
      <c r="A262" s="73" t="n">
        <v>259</v>
      </c>
      <c r="B262" s="74" t="n">
        <f aca="false">WORKDAY(Settings!$C$4-1,A262,Holidays!$A$5:$A$40)</f>
        <v>46689</v>
      </c>
      <c r="C262" s="73" t="s">
        <v>176</v>
      </c>
      <c r="D262" s="73" t="n">
        <f aca="false">INT((A262-1)/5)+1</f>
        <v>52</v>
      </c>
      <c r="E262" s="73" t="n">
        <f aca="false">MOD(A262-1,10)+1</f>
        <v>9</v>
      </c>
      <c r="F262" s="72" t="s">
        <v>172</v>
      </c>
      <c r="G262" s="73" t="s">
        <v>643</v>
      </c>
      <c r="H262" s="75" t="str">
        <f aca="false">IFERROR(INDEX(Roles!$D$5:$D$26,MATCH(G262,Roles!$A$5:$A$26,0)),"")</f>
        <v>medilens-technical-writer</v>
      </c>
      <c r="I262" s="24" t="s">
        <v>1410</v>
      </c>
      <c r="J262" s="24" t="s">
        <v>1411</v>
      </c>
      <c r="K262" s="24" t="s">
        <v>1412</v>
      </c>
      <c r="L262" s="24" t="s">
        <v>1413</v>
      </c>
      <c r="M262" s="73"/>
      <c r="N262" s="76" t="n">
        <f aca="false">Settings!$C$5</f>
        <v>4</v>
      </c>
      <c r="O262" s="77"/>
      <c r="P262" s="78" t="s">
        <v>74</v>
      </c>
      <c r="Q262" s="73" t="str">
        <f aca="true">IF(OR(P262="Xong",P262="Bỏ"),"",IF(B262&lt;TODAY(),"Quá hạn",IF(B262=TODAY(),"Hôm nay","")))</f>
        <v/>
      </c>
      <c r="R262" s="79"/>
    </row>
    <row r="263" customFormat="false" ht="27.75" hidden="false" customHeight="true" outlineLevel="0" collapsed="false">
      <c r="A263" s="73" t="n">
        <v>260</v>
      </c>
      <c r="B263" s="74" t="n">
        <f aca="false">WORKDAY(Settings!$C$4-1,A263,Holidays!$A$5:$A$40)</f>
        <v>46692</v>
      </c>
      <c r="C263" s="73" t="s">
        <v>176</v>
      </c>
      <c r="D263" s="73" t="n">
        <f aca="false">INT((A263-1)/5)+1</f>
        <v>52</v>
      </c>
      <c r="E263" s="73" t="n">
        <f aca="false">MOD(A263-1,10)+1</f>
        <v>10</v>
      </c>
      <c r="F263" s="72" t="s">
        <v>172</v>
      </c>
      <c r="G263" s="73" t="s">
        <v>477</v>
      </c>
      <c r="H263" s="75" t="str">
        <f aca="false">IFERROR(INDEX(Roles!$D$5:$D$26,MATCH(G263,Roles!$A$5:$A$26,0)),"")</f>
        <v>medilens-qc-release-gatekeeper</v>
      </c>
      <c r="I263" s="24" t="s">
        <v>1414</v>
      </c>
      <c r="J263" s="24" t="s">
        <v>1415</v>
      </c>
      <c r="K263" s="24" t="s">
        <v>1416</v>
      </c>
      <c r="L263" s="24" t="s">
        <v>1417</v>
      </c>
      <c r="M263" s="80" t="s">
        <v>376</v>
      </c>
      <c r="N263" s="76" t="n">
        <f aca="false">Settings!$C$5</f>
        <v>4</v>
      </c>
      <c r="O263" s="77"/>
      <c r="P263" s="78" t="s">
        <v>74</v>
      </c>
      <c r="Q263" s="73" t="str">
        <f aca="true">IF(OR(P263="Xong",P263="Bỏ"),"",IF(B263&lt;TODAY(),"Quá hạn",IF(B263=TODAY(),"Hôm nay","")))</f>
        <v/>
      </c>
      <c r="R263" s="79"/>
    </row>
  </sheetData>
  <autoFilter ref="A3:R263"/>
  <conditionalFormatting sqref="A4:R263">
    <cfRule type="expression" priority="2" aboveAverage="0" equalAverage="0" bottom="0" percent="0" rank="0" text="" dxfId="14">
      <formula>$P4="Xong"</formula>
    </cfRule>
    <cfRule type="expression" priority="3" aboveAverage="0" equalAverage="0" bottom="0" percent="0" rank="0" text="" dxfId="15">
      <formula>$Q4="Quá hạn"</formula>
    </cfRule>
    <cfRule type="expression" priority="4" aboveAverage="0" equalAverage="0" bottom="0" percent="0" rank="0" text="" dxfId="16">
      <formula>$Q4="Hôm nay"</formula>
    </cfRule>
    <cfRule type="expression" priority="5" aboveAverage="0" equalAverage="0" bottom="0" percent="0" rank="0" text="" dxfId="17">
      <formula>$M4&lt;&gt;""</formula>
    </cfRule>
  </conditionalFormatting>
  <dataValidations count="3">
    <dataValidation allowBlank="true" error="Chọn một trạng thái trong danh sách" errorStyle="stop" operator="between" showDropDown="false" showErrorMessage="false" showInputMessage="false" sqref="P4:P263" type="list">
      <formula1>"Chưa làm,Đang làm,Xong,Trễ,Bỏ"</formula1>
      <formula2>0</formula2>
    </dataValidation>
    <dataValidation allowBlank="false" errorStyle="stop" operator="between" showDropDown="false" showErrorMessage="false" showInputMessage="false" sqref="G4:G263" type="list">
      <formula1>Roles!$A$5:$A$26</formula1>
      <formula2>0</formula2>
    </dataValidation>
    <dataValidation allowBlank="true" error="Giờ thực tế từ 0 đến 16" errorStyle="stop" operator="between" showDropDown="false" showErrorMessage="false" showInputMessage="false" sqref="O4:O263" type="decimal">
      <formula1>0</formula1>
      <formula2>16</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8"/>
    <col collapsed="false" customWidth="true" hidden="false" outlineLevel="0" max="4" min="4" style="0" width="8"/>
    <col collapsed="false" customWidth="true" hidden="false" outlineLevel="0" max="5" min="5" style="0" width="13"/>
    <col collapsed="false" customWidth="true" hidden="false" outlineLevel="0" max="6" min="6" style="0" width="46"/>
    <col collapsed="false" customWidth="true" hidden="false" outlineLevel="0" max="7" min="7" style="0" width="42"/>
    <col collapsed="false" customWidth="true" hidden="false" outlineLevel="0" max="8" min="8" style="0" width="30"/>
    <col collapsed="false" customWidth="true" hidden="false" outlineLevel="0" max="9" min="9" style="0" width="16"/>
    <col collapsed="false" customWidth="true" hidden="false" outlineLevel="0" max="11" min="10" style="0" width="14"/>
    <col collapsed="false" customWidth="true" hidden="false" outlineLevel="0" max="12" min="12" style="0" width="24"/>
  </cols>
  <sheetData>
    <row r="1" customFormat="false" ht="24" hidden="false" customHeight="true" outlineLevel="0" collapsed="false">
      <c r="A1" s="1" t="s">
        <v>1418</v>
      </c>
    </row>
    <row r="2" customFormat="false" ht="15" hidden="false" customHeight="false" outlineLevel="0" collapsed="false">
      <c r="A2" s="2" t="s">
        <v>1419</v>
      </c>
    </row>
    <row r="3" customFormat="false" ht="31.5" hidden="false" customHeight="true" outlineLevel="0" collapsed="false">
      <c r="A3" s="5" t="s">
        <v>59</v>
      </c>
      <c r="B3" s="5" t="s">
        <v>112</v>
      </c>
      <c r="C3" s="5" t="s">
        <v>113</v>
      </c>
      <c r="D3" s="5" t="s">
        <v>60</v>
      </c>
      <c r="E3" s="5" t="s">
        <v>61</v>
      </c>
      <c r="F3" s="5" t="s">
        <v>1420</v>
      </c>
      <c r="G3" s="5" t="s">
        <v>1421</v>
      </c>
      <c r="H3" s="5" t="s">
        <v>1422</v>
      </c>
      <c r="I3" s="5" t="s">
        <v>1423</v>
      </c>
      <c r="J3" s="5" t="s">
        <v>62</v>
      </c>
      <c r="K3" s="5" t="s">
        <v>1424</v>
      </c>
      <c r="L3" s="5" t="s">
        <v>392</v>
      </c>
    </row>
    <row r="4" customFormat="false" ht="31.5" hidden="false" customHeight="true" outlineLevel="0" collapsed="false">
      <c r="A4" s="39" t="s">
        <v>1425</v>
      </c>
      <c r="B4" s="24" t="s">
        <v>1426</v>
      </c>
      <c r="C4" s="24" t="s">
        <v>1426</v>
      </c>
      <c r="D4" s="24" t="s">
        <v>125</v>
      </c>
      <c r="E4" s="9" t="n">
        <f aca="false">INDEX(Sprints!$E$4:$E$29,MATCH(D4,Sprints!$A$4:$A$29,0))</f>
        <v>46339</v>
      </c>
      <c r="F4" s="24" t="s">
        <v>1427</v>
      </c>
      <c r="G4" s="24" t="s">
        <v>1428</v>
      </c>
      <c r="H4" s="24" t="s">
        <v>1429</v>
      </c>
      <c r="I4" s="24" t="s">
        <v>1430</v>
      </c>
      <c r="J4" s="79" t="s">
        <v>1431</v>
      </c>
      <c r="K4" s="25"/>
      <c r="L4" s="79"/>
    </row>
    <row r="5" customFormat="false" ht="31.5" hidden="false" customHeight="true" outlineLevel="0" collapsed="false">
      <c r="A5" s="39" t="s">
        <v>1432</v>
      </c>
      <c r="B5" s="24" t="s">
        <v>1433</v>
      </c>
      <c r="C5" s="24" t="s">
        <v>1433</v>
      </c>
      <c r="D5" s="24" t="s">
        <v>125</v>
      </c>
      <c r="E5" s="9" t="n">
        <f aca="false">INDEX(Sprints!$E$4:$E$29,MATCH(D5,Sprints!$A$4:$A$29,0))</f>
        <v>46339</v>
      </c>
      <c r="F5" s="24" t="s">
        <v>1434</v>
      </c>
      <c r="G5" s="24" t="s">
        <v>1435</v>
      </c>
      <c r="H5" s="24" t="s">
        <v>1436</v>
      </c>
      <c r="I5" s="24" t="s">
        <v>402</v>
      </c>
      <c r="J5" s="79" t="s">
        <v>1431</v>
      </c>
      <c r="K5" s="25"/>
      <c r="L5" s="79"/>
    </row>
    <row r="6" customFormat="false" ht="31.5" hidden="false" customHeight="true" outlineLevel="0" collapsed="false">
      <c r="A6" s="39" t="s">
        <v>610</v>
      </c>
      <c r="B6" s="24" t="s">
        <v>1437</v>
      </c>
      <c r="C6" s="24" t="s">
        <v>1438</v>
      </c>
      <c r="D6" s="24" t="s">
        <v>133</v>
      </c>
      <c r="E6" s="9" t="n">
        <f aca="false">INDEX(Sprints!$E$4:$E$29,MATCH(D6,Sprints!$A$4:$A$29,0))</f>
        <v>46384</v>
      </c>
      <c r="F6" s="24" t="s">
        <v>1439</v>
      </c>
      <c r="G6" s="24" t="s">
        <v>1440</v>
      </c>
      <c r="H6" s="24" t="s">
        <v>1441</v>
      </c>
      <c r="I6" s="24" t="s">
        <v>1442</v>
      </c>
      <c r="J6" s="79" t="s">
        <v>1431</v>
      </c>
      <c r="K6" s="25"/>
      <c r="L6" s="79"/>
    </row>
    <row r="7" customFormat="false" ht="45.75" hidden="false" customHeight="true" outlineLevel="0" collapsed="false">
      <c r="A7" s="39" t="s">
        <v>605</v>
      </c>
      <c r="B7" s="24" t="s">
        <v>1443</v>
      </c>
      <c r="C7" s="24" t="s">
        <v>1444</v>
      </c>
      <c r="D7" s="24" t="s">
        <v>133</v>
      </c>
      <c r="E7" s="9" t="n">
        <f aca="false">INDEX(Sprints!$E$4:$E$29,MATCH(D7,Sprints!$A$4:$A$29,0))</f>
        <v>46384</v>
      </c>
      <c r="F7" s="24" t="s">
        <v>1445</v>
      </c>
      <c r="G7" s="24" t="s">
        <v>1446</v>
      </c>
      <c r="H7" s="24" t="s">
        <v>1447</v>
      </c>
      <c r="I7" s="24" t="s">
        <v>1448</v>
      </c>
      <c r="J7" s="79" t="s">
        <v>1431</v>
      </c>
      <c r="K7" s="25"/>
      <c r="L7" s="79"/>
    </row>
    <row r="8" customFormat="false" ht="31.5" hidden="false" customHeight="true" outlineLevel="0" collapsed="false">
      <c r="A8" s="39" t="s">
        <v>145</v>
      </c>
      <c r="B8" s="24" t="s">
        <v>1449</v>
      </c>
      <c r="C8" s="24" t="s">
        <v>1449</v>
      </c>
      <c r="D8" s="24" t="s">
        <v>141</v>
      </c>
      <c r="E8" s="9" t="n">
        <f aca="false">INDEX(Sprints!$E$4:$E$29,MATCH(D8,Sprints!$A$4:$A$29,0))</f>
        <v>46476</v>
      </c>
      <c r="F8" s="24" t="s">
        <v>1450</v>
      </c>
      <c r="G8" s="24" t="s">
        <v>1451</v>
      </c>
      <c r="H8" s="24" t="s">
        <v>1452</v>
      </c>
      <c r="I8" s="24" t="s">
        <v>477</v>
      </c>
      <c r="J8" s="79" t="s">
        <v>1431</v>
      </c>
      <c r="K8" s="25"/>
      <c r="L8" s="79"/>
    </row>
    <row r="9" customFormat="false" ht="31.5" hidden="false" customHeight="true" outlineLevel="0" collapsed="false">
      <c r="A9" s="39" t="s">
        <v>292</v>
      </c>
      <c r="B9" s="24" t="s">
        <v>1453</v>
      </c>
      <c r="C9" s="24" t="s">
        <v>1453</v>
      </c>
      <c r="D9" s="24" t="s">
        <v>192</v>
      </c>
      <c r="E9" s="9" t="n">
        <f aca="false">INDEX(Sprints!$E$4:$E$29,MATCH(D9,Sprints!$A$4:$A$29,0))</f>
        <v>46505</v>
      </c>
      <c r="F9" s="24" t="s">
        <v>1454</v>
      </c>
      <c r="G9" s="24" t="s">
        <v>1455</v>
      </c>
      <c r="H9" s="24" t="s">
        <v>1456</v>
      </c>
      <c r="I9" s="24" t="s">
        <v>429</v>
      </c>
      <c r="J9" s="79" t="s">
        <v>1431</v>
      </c>
      <c r="K9" s="25"/>
      <c r="L9" s="79"/>
    </row>
    <row r="10" customFormat="false" ht="31.5" hidden="false" customHeight="true" outlineLevel="0" collapsed="false">
      <c r="A10" s="39" t="s">
        <v>1457</v>
      </c>
      <c r="B10" s="24" t="s">
        <v>1458</v>
      </c>
      <c r="C10" s="24" t="s">
        <v>1458</v>
      </c>
      <c r="D10" s="24" t="s">
        <v>149</v>
      </c>
      <c r="E10" s="9" t="n">
        <f aca="false">INDEX(Sprints!$E$4:$E$29,MATCH(D10,Sprints!$A$4:$A$29,0))</f>
        <v>46520</v>
      </c>
      <c r="F10" s="24" t="s">
        <v>1459</v>
      </c>
      <c r="G10" s="24" t="s">
        <v>1460</v>
      </c>
      <c r="H10" s="24" t="s">
        <v>1461</v>
      </c>
      <c r="I10" s="24" t="s">
        <v>477</v>
      </c>
      <c r="J10" s="79" t="s">
        <v>1431</v>
      </c>
      <c r="K10" s="25"/>
      <c r="L10" s="79"/>
    </row>
    <row r="11" customFormat="false" ht="31.5" hidden="false" customHeight="true" outlineLevel="0" collapsed="false">
      <c r="A11" s="39" t="s">
        <v>1462</v>
      </c>
      <c r="B11" s="24" t="s">
        <v>1463</v>
      </c>
      <c r="C11" s="24" t="s">
        <v>1463</v>
      </c>
      <c r="D11" s="24" t="s">
        <v>149</v>
      </c>
      <c r="E11" s="9" t="n">
        <f aca="false">INDEX(Sprints!$E$4:$E$29,MATCH(D11,Sprints!$A$4:$A$29,0))</f>
        <v>46520</v>
      </c>
      <c r="F11" s="24" t="s">
        <v>1464</v>
      </c>
      <c r="G11" s="24" t="s">
        <v>1465</v>
      </c>
      <c r="H11" s="24" t="s">
        <v>1466</v>
      </c>
      <c r="I11" s="24" t="s">
        <v>517</v>
      </c>
      <c r="J11" s="79" t="s">
        <v>1431</v>
      </c>
      <c r="K11" s="25"/>
      <c r="L11" s="79"/>
    </row>
    <row r="12" customFormat="false" ht="31.5" hidden="false" customHeight="true" outlineLevel="0" collapsed="false">
      <c r="A12" s="39" t="s">
        <v>161</v>
      </c>
      <c r="B12" s="24" t="s">
        <v>1467</v>
      </c>
      <c r="C12" s="24" t="s">
        <v>1467</v>
      </c>
      <c r="D12" s="24" t="s">
        <v>157</v>
      </c>
      <c r="E12" s="9" t="n">
        <f aca="false">INDEX(Sprints!$E$4:$E$29,MATCH(D12,Sprints!$A$4:$A$29,0))</f>
        <v>46548</v>
      </c>
      <c r="F12" s="24" t="s">
        <v>1468</v>
      </c>
      <c r="G12" s="24" t="s">
        <v>1469</v>
      </c>
      <c r="H12" s="24" t="s">
        <v>1470</v>
      </c>
      <c r="I12" s="24" t="s">
        <v>1430</v>
      </c>
      <c r="J12" s="79" t="s">
        <v>1431</v>
      </c>
      <c r="K12" s="25"/>
      <c r="L12" s="79"/>
    </row>
    <row r="13" customFormat="false" ht="31.5" hidden="false" customHeight="true" outlineLevel="0" collapsed="false">
      <c r="A13" s="39" t="s">
        <v>324</v>
      </c>
      <c r="B13" s="24" t="s">
        <v>1471</v>
      </c>
      <c r="C13" s="24" t="s">
        <v>1471</v>
      </c>
      <c r="D13" s="24" t="s">
        <v>193</v>
      </c>
      <c r="E13" s="9" t="n">
        <f aca="false">INDEX(Sprints!$E$4:$E$29,MATCH(D13,Sprints!$A$4:$A$29,0))</f>
        <v>46576</v>
      </c>
      <c r="F13" s="24" t="s">
        <v>1472</v>
      </c>
      <c r="G13" s="24" t="s">
        <v>1473</v>
      </c>
      <c r="H13" s="24" t="s">
        <v>1474</v>
      </c>
      <c r="I13" s="24" t="s">
        <v>1475</v>
      </c>
      <c r="J13" s="79" t="s">
        <v>1431</v>
      </c>
      <c r="K13" s="25"/>
      <c r="L13" s="79"/>
    </row>
    <row r="14" customFormat="false" ht="31.5" hidden="false" customHeight="true" outlineLevel="0" collapsed="false">
      <c r="A14" s="39" t="s">
        <v>337</v>
      </c>
      <c r="B14" s="24" t="s">
        <v>1476</v>
      </c>
      <c r="C14" s="24" t="s">
        <v>1476</v>
      </c>
      <c r="D14" s="24" t="s">
        <v>166</v>
      </c>
      <c r="E14" s="9" t="n">
        <f aca="false">INDEX(Sprints!$E$4:$E$29,MATCH(D14,Sprints!$A$4:$A$29,0))</f>
        <v>46604</v>
      </c>
      <c r="F14" s="24" t="s">
        <v>1477</v>
      </c>
      <c r="G14" s="24" t="s">
        <v>1478</v>
      </c>
      <c r="H14" s="24" t="s">
        <v>1479</v>
      </c>
      <c r="I14" s="24" t="s">
        <v>477</v>
      </c>
      <c r="J14" s="79" t="s">
        <v>1431</v>
      </c>
      <c r="K14" s="25"/>
      <c r="L14" s="79"/>
    </row>
    <row r="15" customFormat="false" ht="31.5" hidden="false" customHeight="true" outlineLevel="0" collapsed="false">
      <c r="A15" s="39" t="s">
        <v>344</v>
      </c>
      <c r="B15" s="24" t="s">
        <v>1480</v>
      </c>
      <c r="C15" s="24" t="s">
        <v>1481</v>
      </c>
      <c r="D15" s="24" t="s">
        <v>175</v>
      </c>
      <c r="E15" s="9" t="n">
        <f aca="false">INDEX(Sprints!$E$4:$E$29,MATCH(D15,Sprints!$A$4:$A$29,0))</f>
        <v>46618</v>
      </c>
      <c r="F15" s="24" t="s">
        <v>1482</v>
      </c>
      <c r="G15" s="24" t="s">
        <v>1483</v>
      </c>
      <c r="H15" s="24" t="s">
        <v>1484</v>
      </c>
      <c r="I15" s="24" t="s">
        <v>1485</v>
      </c>
      <c r="J15" s="79" t="s">
        <v>1431</v>
      </c>
      <c r="K15" s="25"/>
      <c r="L15" s="79"/>
    </row>
    <row r="16" customFormat="false" ht="45.75" hidden="false" customHeight="true" outlineLevel="0" collapsed="false">
      <c r="A16" s="39" t="s">
        <v>351</v>
      </c>
      <c r="B16" s="24" t="s">
        <v>1486</v>
      </c>
      <c r="C16" s="24" t="s">
        <v>1487</v>
      </c>
      <c r="D16" s="24" t="s">
        <v>195</v>
      </c>
      <c r="E16" s="9" t="n">
        <f aca="false">INDEX(Sprints!$E$4:$E$29,MATCH(D16,Sprints!$A$4:$A$29,0))</f>
        <v>46636</v>
      </c>
      <c r="F16" s="24" t="s">
        <v>1488</v>
      </c>
      <c r="G16" s="24" t="s">
        <v>1489</v>
      </c>
      <c r="H16" s="24" t="s">
        <v>1490</v>
      </c>
      <c r="I16" s="24" t="s">
        <v>1448</v>
      </c>
      <c r="J16" s="79" t="s">
        <v>1431</v>
      </c>
      <c r="K16" s="25"/>
      <c r="L16" s="79"/>
    </row>
    <row r="17" customFormat="false" ht="45.75" hidden="false" customHeight="true" outlineLevel="0" collapsed="false">
      <c r="A17" s="39" t="s">
        <v>376</v>
      </c>
      <c r="B17" s="24" t="s">
        <v>1491</v>
      </c>
      <c r="C17" s="24" t="s">
        <v>1491</v>
      </c>
      <c r="D17" s="24" t="s">
        <v>176</v>
      </c>
      <c r="E17" s="9" t="n">
        <f aca="false">INDEX(Sprints!$E$4:$E$29,MATCH(D17,Sprints!$A$4:$A$29,0))</f>
        <v>46692</v>
      </c>
      <c r="F17" s="24" t="s">
        <v>1492</v>
      </c>
      <c r="G17" s="24" t="s">
        <v>1493</v>
      </c>
      <c r="H17" s="24" t="s">
        <v>1494</v>
      </c>
      <c r="I17" s="24" t="s">
        <v>1495</v>
      </c>
      <c r="J17" s="79" t="s">
        <v>1431</v>
      </c>
      <c r="K17" s="25"/>
      <c r="L17" s="79"/>
    </row>
  </sheetData>
  <conditionalFormatting sqref="A4:L17">
    <cfRule type="expression" priority="2" aboveAverage="0" equalAverage="0" bottom="0" percent="0" rank="0" text="" dxfId="14">
      <formula>$J4="Đạt"</formula>
    </cfRule>
    <cfRule type="expression" priority="3" aboveAverage="0" equalAverage="0" bottom="0" percent="0" rank="0" text="" dxfId="15">
      <formula>$J4="Không đạt"</formula>
    </cfRule>
  </conditionalFormatting>
  <dataValidations count="1">
    <dataValidation allowBlank="true" errorStyle="stop" operator="between" showDropDown="false" showErrorMessage="false" showInputMessage="false" sqref="J4:J17" type="list">
      <formula1>"Chưa đến,Đạt,Đạt có điều kiện,Không đạt"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40"/>
    <col collapsed="false" customWidth="true" hidden="false" outlineLevel="0" max="4" min="4" style="0" width="36"/>
    <col collapsed="false" customWidth="true" hidden="false" outlineLevel="0" max="5" min="5" style="0" width="30"/>
    <col collapsed="false" customWidth="true" hidden="false" outlineLevel="0" max="8" min="6" style="0" width="9"/>
    <col collapsed="false" customWidth="true" hidden="false" outlineLevel="0" max="9" min="9" style="0" width="12"/>
  </cols>
  <sheetData>
    <row r="1" customFormat="false" ht="24" hidden="false" customHeight="true" outlineLevel="0" collapsed="false">
      <c r="A1" s="1" t="s">
        <v>1496</v>
      </c>
    </row>
    <row r="2" customFormat="false" ht="15" hidden="false" customHeight="false" outlineLevel="0" collapsed="false">
      <c r="A2" s="2" t="s">
        <v>1497</v>
      </c>
    </row>
    <row r="4" customFormat="false" ht="30" hidden="false" customHeight="true" outlineLevel="0" collapsed="false">
      <c r="A4" s="5" t="s">
        <v>1498</v>
      </c>
      <c r="B4" s="5" t="s">
        <v>1499</v>
      </c>
      <c r="C4" s="5" t="s">
        <v>1500</v>
      </c>
      <c r="D4" s="5" t="s">
        <v>1501</v>
      </c>
      <c r="E4" s="5" t="s">
        <v>1502</v>
      </c>
      <c r="F4" s="5" t="s">
        <v>1503</v>
      </c>
      <c r="G4" s="5" t="s">
        <v>37</v>
      </c>
      <c r="H4" s="5" t="s">
        <v>38</v>
      </c>
      <c r="I4" s="5" t="s">
        <v>1504</v>
      </c>
    </row>
    <row r="5" customFormat="false" ht="23.85" hidden="false" customHeight="false" outlineLevel="0" collapsed="false">
      <c r="A5" s="24" t="s">
        <v>393</v>
      </c>
      <c r="B5" s="24" t="s">
        <v>1505</v>
      </c>
      <c r="C5" s="24" t="s">
        <v>1505</v>
      </c>
      <c r="D5" s="24" t="s">
        <v>1506</v>
      </c>
      <c r="E5" s="24"/>
      <c r="F5" s="10" t="n">
        <f aca="false">COUNTIF('Daily Plan'!$G$4:$G$263,A5)</f>
        <v>25</v>
      </c>
      <c r="G5" s="30" t="n">
        <f aca="false">SUMIFS('Daily Plan'!$N$4:$N$263,'Daily Plan'!$G$4:$G$263,A5)</f>
        <v>100</v>
      </c>
      <c r="H5" s="30" t="n">
        <f aca="false">SUMIFS('Daily Plan'!$O$4:$O$263,'Daily Plan'!$G$4:$G$263,A5)</f>
        <v>0</v>
      </c>
      <c r="I5" s="81" t="n">
        <f aca="false">IF(SUM($G$5:$G$26)=0,0,G5/SUM($G$5:$G$26))</f>
        <v>0.0961538461538462</v>
      </c>
    </row>
    <row r="6" customFormat="false" ht="15" hidden="false" customHeight="false" outlineLevel="0" collapsed="false">
      <c r="A6" s="24" t="s">
        <v>411</v>
      </c>
      <c r="B6" s="24" t="s">
        <v>1507</v>
      </c>
      <c r="C6" s="24" t="s">
        <v>1507</v>
      </c>
      <c r="D6" s="24" t="s">
        <v>1508</v>
      </c>
      <c r="E6" s="24"/>
      <c r="F6" s="10" t="n">
        <f aca="false">COUNTIF('Daily Plan'!$G$4:$G$263,A6)</f>
        <v>8</v>
      </c>
      <c r="G6" s="30" t="n">
        <f aca="false">SUMIFS('Daily Plan'!$N$4:$N$263,'Daily Plan'!$G$4:$G$263,A6)</f>
        <v>32</v>
      </c>
      <c r="H6" s="30" t="n">
        <f aca="false">SUMIFS('Daily Plan'!$O$4:$O$263,'Daily Plan'!$G$4:$G$263,A6)</f>
        <v>0</v>
      </c>
      <c r="I6" s="81" t="n">
        <f aca="false">IF(SUM($G$5:$G$26)=0,0,G6/SUM($G$5:$G$26))</f>
        <v>0.0307692307692308</v>
      </c>
    </row>
    <row r="7" customFormat="false" ht="15" hidden="false" customHeight="false" outlineLevel="0" collapsed="false">
      <c r="A7" s="24" t="s">
        <v>420</v>
      </c>
      <c r="B7" s="24" t="s">
        <v>1509</v>
      </c>
      <c r="C7" s="24" t="s">
        <v>1509</v>
      </c>
      <c r="D7" s="24" t="s">
        <v>1510</v>
      </c>
      <c r="E7" s="24"/>
      <c r="F7" s="10" t="n">
        <f aca="false">COUNTIF('Daily Plan'!$G$4:$G$263,A7)</f>
        <v>10</v>
      </c>
      <c r="G7" s="30" t="n">
        <f aca="false">SUMIFS('Daily Plan'!$N$4:$N$263,'Daily Plan'!$G$4:$G$263,A7)</f>
        <v>40</v>
      </c>
      <c r="H7" s="30" t="n">
        <f aca="false">SUMIFS('Daily Plan'!$O$4:$O$263,'Daily Plan'!$G$4:$G$263,A7)</f>
        <v>0</v>
      </c>
      <c r="I7" s="81" t="n">
        <f aca="false">IF(SUM($G$5:$G$26)=0,0,G7/SUM($G$5:$G$26))</f>
        <v>0.0384615384615385</v>
      </c>
    </row>
    <row r="8" customFormat="false" ht="15" hidden="false" customHeight="false" outlineLevel="0" collapsed="false">
      <c r="A8" s="24" t="s">
        <v>468</v>
      </c>
      <c r="B8" s="24" t="s">
        <v>1511</v>
      </c>
      <c r="C8" s="24" t="s">
        <v>1511</v>
      </c>
      <c r="D8" s="24" t="s">
        <v>1512</v>
      </c>
      <c r="E8" s="24"/>
      <c r="F8" s="10" t="n">
        <f aca="false">COUNTIF('Daily Plan'!$G$4:$G$263,A8)</f>
        <v>3</v>
      </c>
      <c r="G8" s="30" t="n">
        <f aca="false">SUMIFS('Daily Plan'!$N$4:$N$263,'Daily Plan'!$G$4:$G$263,A8)</f>
        <v>12</v>
      </c>
      <c r="H8" s="30" t="n">
        <f aca="false">SUMIFS('Daily Plan'!$O$4:$O$263,'Daily Plan'!$G$4:$G$263,A8)</f>
        <v>0</v>
      </c>
      <c r="I8" s="81" t="n">
        <f aca="false">IF(SUM($G$5:$G$26)=0,0,G8/SUM($G$5:$G$26))</f>
        <v>0.0115384615384615</v>
      </c>
    </row>
    <row r="9" customFormat="false" ht="15" hidden="false" customHeight="false" outlineLevel="0" collapsed="false">
      <c r="A9" s="24" t="s">
        <v>454</v>
      </c>
      <c r="B9" s="24" t="s">
        <v>1513</v>
      </c>
      <c r="C9" s="24" t="s">
        <v>1513</v>
      </c>
      <c r="D9" s="24" t="s">
        <v>1514</v>
      </c>
      <c r="E9" s="24"/>
      <c r="F9" s="10" t="n">
        <f aca="false">COUNTIF('Daily Plan'!$G$4:$G$263,A9)</f>
        <v>27</v>
      </c>
      <c r="G9" s="30" t="n">
        <f aca="false">SUMIFS('Daily Plan'!$N$4:$N$263,'Daily Plan'!$G$4:$G$263,A9)</f>
        <v>108</v>
      </c>
      <c r="H9" s="30" t="n">
        <f aca="false">SUMIFS('Daily Plan'!$O$4:$O$263,'Daily Plan'!$G$4:$G$263,A9)</f>
        <v>0</v>
      </c>
      <c r="I9" s="81" t="n">
        <f aca="false">IF(SUM($G$5:$G$26)=0,0,G9/SUM($G$5:$G$26))</f>
        <v>0.103846153846154</v>
      </c>
    </row>
    <row r="10" customFormat="false" ht="15" hidden="false" customHeight="false" outlineLevel="0" collapsed="false">
      <c r="A10" s="24" t="s">
        <v>558</v>
      </c>
      <c r="B10" s="24" t="s">
        <v>1515</v>
      </c>
      <c r="C10" s="24" t="s">
        <v>1515</v>
      </c>
      <c r="D10" s="24" t="s">
        <v>1516</v>
      </c>
      <c r="E10" s="24"/>
      <c r="F10" s="10" t="n">
        <f aca="false">COUNTIF('Daily Plan'!$G$4:$G$263,A10)</f>
        <v>5</v>
      </c>
      <c r="G10" s="30" t="n">
        <f aca="false">SUMIFS('Daily Plan'!$N$4:$N$263,'Daily Plan'!$G$4:$G$263,A10)</f>
        <v>20</v>
      </c>
      <c r="H10" s="30" t="n">
        <f aca="false">SUMIFS('Daily Plan'!$O$4:$O$263,'Daily Plan'!$G$4:$G$263,A10)</f>
        <v>0</v>
      </c>
      <c r="I10" s="81" t="n">
        <f aca="false">IF(SUM($G$5:$G$26)=0,0,G10/SUM($G$5:$G$26))</f>
        <v>0.0192307692307692</v>
      </c>
    </row>
    <row r="11" customFormat="false" ht="15" hidden="false" customHeight="false" outlineLevel="0" collapsed="false">
      <c r="A11" s="24" t="s">
        <v>503</v>
      </c>
      <c r="B11" s="24" t="s">
        <v>1517</v>
      </c>
      <c r="C11" s="24" t="s">
        <v>1517</v>
      </c>
      <c r="D11" s="24" t="s">
        <v>1518</v>
      </c>
      <c r="E11" s="24"/>
      <c r="F11" s="10" t="n">
        <f aca="false">COUNTIF('Daily Plan'!$G$4:$G$263,A11)</f>
        <v>25</v>
      </c>
      <c r="G11" s="30" t="n">
        <f aca="false">SUMIFS('Daily Plan'!$N$4:$N$263,'Daily Plan'!$G$4:$G$263,A11)</f>
        <v>100</v>
      </c>
      <c r="H11" s="30" t="n">
        <f aca="false">SUMIFS('Daily Plan'!$O$4:$O$263,'Daily Plan'!$G$4:$G$263,A11)</f>
        <v>0</v>
      </c>
      <c r="I11" s="81" t="n">
        <f aca="false">IF(SUM($G$5:$G$26)=0,0,G11/SUM($G$5:$G$26))</f>
        <v>0.0961538461538462</v>
      </c>
    </row>
    <row r="12" customFormat="false" ht="15" hidden="false" customHeight="false" outlineLevel="0" collapsed="false">
      <c r="A12" s="24" t="s">
        <v>512</v>
      </c>
      <c r="B12" s="24" t="s">
        <v>1519</v>
      </c>
      <c r="C12" s="24" t="s">
        <v>1520</v>
      </c>
      <c r="D12" s="24" t="s">
        <v>1521</v>
      </c>
      <c r="E12" s="24"/>
      <c r="F12" s="10" t="n">
        <f aca="false">COUNTIF('Daily Plan'!$G$4:$G$263,A12)</f>
        <v>20</v>
      </c>
      <c r="G12" s="30" t="n">
        <f aca="false">SUMIFS('Daily Plan'!$N$4:$N$263,'Daily Plan'!$G$4:$G$263,A12)</f>
        <v>80</v>
      </c>
      <c r="H12" s="30" t="n">
        <f aca="false">SUMIFS('Daily Plan'!$O$4:$O$263,'Daily Plan'!$G$4:$G$263,A12)</f>
        <v>0</v>
      </c>
      <c r="I12" s="81" t="n">
        <f aca="false">IF(SUM($G$5:$G$26)=0,0,G12/SUM($G$5:$G$26))</f>
        <v>0.0769230769230769</v>
      </c>
    </row>
    <row r="13" customFormat="false" ht="15" hidden="false" customHeight="false" outlineLevel="0" collapsed="false">
      <c r="A13" s="24" t="s">
        <v>486</v>
      </c>
      <c r="B13" s="24" t="s">
        <v>1522</v>
      </c>
      <c r="C13" s="24" t="s">
        <v>1523</v>
      </c>
      <c r="D13" s="24" t="s">
        <v>1524</v>
      </c>
      <c r="E13" s="24"/>
      <c r="F13" s="10" t="n">
        <f aca="false">COUNTIF('Daily Plan'!$G$4:$G$263,A13)</f>
        <v>13</v>
      </c>
      <c r="G13" s="30" t="n">
        <f aca="false">SUMIFS('Daily Plan'!$N$4:$N$263,'Daily Plan'!$G$4:$G$263,A13)</f>
        <v>52</v>
      </c>
      <c r="H13" s="30" t="n">
        <f aca="false">SUMIFS('Daily Plan'!$O$4:$O$263,'Daily Plan'!$G$4:$G$263,A13)</f>
        <v>0</v>
      </c>
      <c r="I13" s="81" t="n">
        <f aca="false">IF(SUM($G$5:$G$26)=0,0,G13/SUM($G$5:$G$26))</f>
        <v>0.05</v>
      </c>
    </row>
    <row r="14" customFormat="false" ht="15" hidden="false" customHeight="false" outlineLevel="0" collapsed="false">
      <c r="A14" s="24" t="s">
        <v>517</v>
      </c>
      <c r="B14" s="24" t="s">
        <v>1525</v>
      </c>
      <c r="C14" s="24" t="s">
        <v>1525</v>
      </c>
      <c r="D14" s="24" t="s">
        <v>1526</v>
      </c>
      <c r="E14" s="24" t="s">
        <v>1527</v>
      </c>
      <c r="F14" s="10" t="n">
        <f aca="false">COUNTIF('Daily Plan'!$G$4:$G$263,A14)</f>
        <v>13</v>
      </c>
      <c r="G14" s="30" t="n">
        <f aca="false">SUMIFS('Daily Plan'!$N$4:$N$263,'Daily Plan'!$G$4:$G$263,A14)</f>
        <v>52</v>
      </c>
      <c r="H14" s="30" t="n">
        <f aca="false">SUMIFS('Daily Plan'!$O$4:$O$263,'Daily Plan'!$G$4:$G$263,A14)</f>
        <v>0</v>
      </c>
      <c r="I14" s="81" t="n">
        <f aca="false">IF(SUM($G$5:$G$26)=0,0,G14/SUM($G$5:$G$26))</f>
        <v>0.05</v>
      </c>
    </row>
    <row r="15" customFormat="false" ht="15" hidden="false" customHeight="false" outlineLevel="0" collapsed="false">
      <c r="A15" s="24" t="s">
        <v>563</v>
      </c>
      <c r="B15" s="24" t="s">
        <v>1528</v>
      </c>
      <c r="C15" s="24" t="s">
        <v>1528</v>
      </c>
      <c r="D15" s="24" t="s">
        <v>1529</v>
      </c>
      <c r="E15" s="24"/>
      <c r="F15" s="10" t="n">
        <f aca="false">COUNTIF('Daily Plan'!$G$4:$G$263,A15)</f>
        <v>19</v>
      </c>
      <c r="G15" s="30" t="n">
        <f aca="false">SUMIFS('Daily Plan'!$N$4:$N$263,'Daily Plan'!$G$4:$G$263,A15)</f>
        <v>76</v>
      </c>
      <c r="H15" s="30" t="n">
        <f aca="false">SUMIFS('Daily Plan'!$O$4:$O$263,'Daily Plan'!$G$4:$G$263,A15)</f>
        <v>0</v>
      </c>
      <c r="I15" s="81" t="n">
        <f aca="false">IF(SUM($G$5:$G$26)=0,0,G15/SUM($G$5:$G$26))</f>
        <v>0.0730769230769231</v>
      </c>
    </row>
    <row r="16" customFormat="false" ht="15" hidden="false" customHeight="false" outlineLevel="0" collapsed="false">
      <c r="A16" s="24" t="s">
        <v>477</v>
      </c>
      <c r="B16" s="24" t="s">
        <v>1530</v>
      </c>
      <c r="C16" s="24" t="s">
        <v>1530</v>
      </c>
      <c r="D16" s="24" t="s">
        <v>1531</v>
      </c>
      <c r="E16" s="24"/>
      <c r="F16" s="10" t="n">
        <f aca="false">COUNTIF('Daily Plan'!$G$4:$G$263,A16)</f>
        <v>13</v>
      </c>
      <c r="G16" s="30" t="n">
        <f aca="false">SUMIFS('Daily Plan'!$N$4:$N$263,'Daily Plan'!$G$4:$G$263,A16)</f>
        <v>52</v>
      </c>
      <c r="H16" s="30" t="n">
        <f aca="false">SUMIFS('Daily Plan'!$O$4:$O$263,'Daily Plan'!$G$4:$G$263,A16)</f>
        <v>0</v>
      </c>
      <c r="I16" s="81" t="n">
        <f aca="false">IF(SUM($G$5:$G$26)=0,0,G16/SUM($G$5:$G$26))</f>
        <v>0.05</v>
      </c>
    </row>
    <row r="17" customFormat="false" ht="15" hidden="false" customHeight="false" outlineLevel="0" collapsed="false">
      <c r="A17" s="24" t="s">
        <v>879</v>
      </c>
      <c r="B17" s="24" t="s">
        <v>1532</v>
      </c>
      <c r="C17" s="24" t="s">
        <v>1533</v>
      </c>
      <c r="D17" s="24" t="s">
        <v>1534</v>
      </c>
      <c r="E17" s="24"/>
      <c r="F17" s="10" t="n">
        <f aca="false">COUNTIF('Daily Plan'!$G$4:$G$263,A17)</f>
        <v>8</v>
      </c>
      <c r="G17" s="30" t="n">
        <f aca="false">SUMIFS('Daily Plan'!$N$4:$N$263,'Daily Plan'!$G$4:$G$263,A17)</f>
        <v>32</v>
      </c>
      <c r="H17" s="30" t="n">
        <f aca="false">SUMIFS('Daily Plan'!$O$4:$O$263,'Daily Plan'!$G$4:$G$263,A17)</f>
        <v>0</v>
      </c>
      <c r="I17" s="81" t="n">
        <f aca="false">IF(SUM($G$5:$G$26)=0,0,G17/SUM($G$5:$G$26))</f>
        <v>0.0307692307692308</v>
      </c>
    </row>
    <row r="18" customFormat="false" ht="15" hidden="false" customHeight="false" outlineLevel="0" collapsed="false">
      <c r="A18" s="24" t="s">
        <v>429</v>
      </c>
      <c r="B18" s="24" t="s">
        <v>1535</v>
      </c>
      <c r="C18" s="24" t="s">
        <v>1536</v>
      </c>
      <c r="D18" s="24" t="s">
        <v>1537</v>
      </c>
      <c r="E18" s="24" t="s">
        <v>1538</v>
      </c>
      <c r="F18" s="10" t="n">
        <f aca="false">COUNTIF('Daily Plan'!$G$4:$G$263,A18)</f>
        <v>12</v>
      </c>
      <c r="G18" s="30" t="n">
        <f aca="false">SUMIFS('Daily Plan'!$N$4:$N$263,'Daily Plan'!$G$4:$G$263,A18)</f>
        <v>48</v>
      </c>
      <c r="H18" s="30" t="n">
        <f aca="false">SUMIFS('Daily Plan'!$O$4:$O$263,'Daily Plan'!$G$4:$G$263,A18)</f>
        <v>0</v>
      </c>
      <c r="I18" s="81" t="n">
        <f aca="false">IF(SUM($G$5:$G$26)=0,0,G18/SUM($G$5:$G$26))</f>
        <v>0.0461538461538462</v>
      </c>
    </row>
    <row r="19" customFormat="false" ht="15" hidden="false" customHeight="false" outlineLevel="0" collapsed="false">
      <c r="A19" s="24" t="s">
        <v>402</v>
      </c>
      <c r="B19" s="24" t="s">
        <v>1539</v>
      </c>
      <c r="C19" s="24" t="s">
        <v>1539</v>
      </c>
      <c r="D19" s="24" t="s">
        <v>1540</v>
      </c>
      <c r="E19" s="24" t="s">
        <v>1541</v>
      </c>
      <c r="F19" s="10" t="n">
        <f aca="false">COUNTIF('Daily Plan'!$G$4:$G$263,A19)</f>
        <v>11</v>
      </c>
      <c r="G19" s="30" t="n">
        <f aca="false">SUMIFS('Daily Plan'!$N$4:$N$263,'Daily Plan'!$G$4:$G$263,A19)</f>
        <v>44</v>
      </c>
      <c r="H19" s="30" t="n">
        <f aca="false">SUMIFS('Daily Plan'!$O$4:$O$263,'Daily Plan'!$G$4:$G$263,A19)</f>
        <v>0</v>
      </c>
      <c r="I19" s="81" t="n">
        <f aca="false">IF(SUM($G$5:$G$26)=0,0,G19/SUM($G$5:$G$26))</f>
        <v>0.0423076923076923</v>
      </c>
    </row>
    <row r="20" customFormat="false" ht="23.85" hidden="false" customHeight="false" outlineLevel="0" collapsed="false">
      <c r="A20" s="24" t="s">
        <v>596</v>
      </c>
      <c r="B20" s="24" t="s">
        <v>1542</v>
      </c>
      <c r="C20" s="24" t="s">
        <v>1542</v>
      </c>
      <c r="D20" s="24" t="s">
        <v>1543</v>
      </c>
      <c r="E20" s="24"/>
      <c r="F20" s="10" t="n">
        <f aca="false">COUNTIF('Daily Plan'!$G$4:$G$263,A20)</f>
        <v>5</v>
      </c>
      <c r="G20" s="30" t="n">
        <f aca="false">SUMIFS('Daily Plan'!$N$4:$N$263,'Daily Plan'!$G$4:$G$263,A20)</f>
        <v>20</v>
      </c>
      <c r="H20" s="30" t="n">
        <f aca="false">SUMIFS('Daily Plan'!$O$4:$O$263,'Daily Plan'!$G$4:$G$263,A20)</f>
        <v>0</v>
      </c>
      <c r="I20" s="81" t="n">
        <f aca="false">IF(SUM($G$5:$G$26)=0,0,G20/SUM($G$5:$G$26))</f>
        <v>0.0192307692307692</v>
      </c>
    </row>
    <row r="21" customFormat="false" ht="23.85" hidden="false" customHeight="false" outlineLevel="0" collapsed="false">
      <c r="A21" s="24" t="s">
        <v>459</v>
      </c>
      <c r="B21" s="24" t="s">
        <v>1544</v>
      </c>
      <c r="C21" s="24" t="s">
        <v>1544</v>
      </c>
      <c r="D21" s="24" t="s">
        <v>1545</v>
      </c>
      <c r="E21" s="24" t="s">
        <v>1546</v>
      </c>
      <c r="F21" s="10" t="n">
        <f aca="false">COUNTIF('Daily Plan'!$G$4:$G$263,A21)</f>
        <v>7</v>
      </c>
      <c r="G21" s="30" t="n">
        <f aca="false">SUMIFS('Daily Plan'!$N$4:$N$263,'Daily Plan'!$G$4:$G$263,A21)</f>
        <v>28</v>
      </c>
      <c r="H21" s="30" t="n">
        <f aca="false">SUMIFS('Daily Plan'!$O$4:$O$263,'Daily Plan'!$G$4:$G$263,A21)</f>
        <v>0</v>
      </c>
      <c r="I21" s="81" t="n">
        <f aca="false">IF(SUM($G$5:$G$26)=0,0,G21/SUM($G$5:$G$26))</f>
        <v>0.0269230769230769</v>
      </c>
    </row>
    <row r="22" customFormat="false" ht="15" hidden="false" customHeight="false" outlineLevel="0" collapsed="false">
      <c r="A22" s="24" t="s">
        <v>579</v>
      </c>
      <c r="B22" s="24" t="s">
        <v>1547</v>
      </c>
      <c r="C22" s="24" t="s">
        <v>1548</v>
      </c>
      <c r="D22" s="24" t="s">
        <v>1549</v>
      </c>
      <c r="E22" s="24"/>
      <c r="F22" s="10" t="n">
        <f aca="false">COUNTIF('Daily Plan'!$G$4:$G$263,A22)</f>
        <v>10</v>
      </c>
      <c r="G22" s="30" t="n">
        <f aca="false">SUMIFS('Daily Plan'!$N$4:$N$263,'Daily Plan'!$G$4:$G$263,A22)</f>
        <v>40</v>
      </c>
      <c r="H22" s="30" t="n">
        <f aca="false">SUMIFS('Daily Plan'!$O$4:$O$263,'Daily Plan'!$G$4:$G$263,A22)</f>
        <v>0</v>
      </c>
      <c r="I22" s="81" t="n">
        <f aca="false">IF(SUM($G$5:$G$26)=0,0,G22/SUM($G$5:$G$26))</f>
        <v>0.0384615384615385</v>
      </c>
    </row>
    <row r="23" customFormat="false" ht="15" hidden="false" customHeight="false" outlineLevel="0" collapsed="false">
      <c r="A23" s="24" t="s">
        <v>1199</v>
      </c>
      <c r="B23" s="24" t="s">
        <v>1550</v>
      </c>
      <c r="C23" s="24" t="s">
        <v>1550</v>
      </c>
      <c r="D23" s="24" t="s">
        <v>1551</v>
      </c>
      <c r="E23" s="24"/>
      <c r="F23" s="10" t="n">
        <f aca="false">COUNTIF('Daily Plan'!$G$4:$G$263,A23)</f>
        <v>8</v>
      </c>
      <c r="G23" s="30" t="n">
        <f aca="false">SUMIFS('Daily Plan'!$N$4:$N$263,'Daily Plan'!$G$4:$G$263,A23)</f>
        <v>32</v>
      </c>
      <c r="H23" s="30" t="n">
        <f aca="false">SUMIFS('Daily Plan'!$O$4:$O$263,'Daily Plan'!$G$4:$G$263,A23)</f>
        <v>0</v>
      </c>
      <c r="I23" s="81" t="n">
        <f aca="false">IF(SUM($G$5:$G$26)=0,0,G23/SUM($G$5:$G$26))</f>
        <v>0.0307692307692308</v>
      </c>
    </row>
    <row r="24" customFormat="false" ht="15" hidden="false" customHeight="false" outlineLevel="0" collapsed="false">
      <c r="A24" s="24" t="s">
        <v>695</v>
      </c>
      <c r="B24" s="24" t="s">
        <v>1552</v>
      </c>
      <c r="C24" s="24" t="s">
        <v>1552</v>
      </c>
      <c r="D24" s="24" t="s">
        <v>1553</v>
      </c>
      <c r="E24" s="24"/>
      <c r="F24" s="10" t="n">
        <f aca="false">COUNTIF('Daily Plan'!$G$4:$G$263,A24)</f>
        <v>4</v>
      </c>
      <c r="G24" s="30" t="n">
        <f aca="false">SUMIFS('Daily Plan'!$N$4:$N$263,'Daily Plan'!$G$4:$G$263,A24)</f>
        <v>16</v>
      </c>
      <c r="H24" s="30" t="n">
        <f aca="false">SUMIFS('Daily Plan'!$O$4:$O$263,'Daily Plan'!$G$4:$G$263,A24)</f>
        <v>0</v>
      </c>
      <c r="I24" s="81" t="n">
        <f aca="false">IF(SUM($G$5:$G$26)=0,0,G24/SUM($G$5:$G$26))</f>
        <v>0.0153846153846154</v>
      </c>
    </row>
    <row r="25" customFormat="false" ht="15" hidden="false" customHeight="false" outlineLevel="0" collapsed="false">
      <c r="A25" s="24" t="s">
        <v>643</v>
      </c>
      <c r="B25" s="24" t="s">
        <v>1554</v>
      </c>
      <c r="C25" s="24" t="s">
        <v>1554</v>
      </c>
      <c r="D25" s="24" t="s">
        <v>1555</v>
      </c>
      <c r="E25" s="24"/>
      <c r="F25" s="10" t="n">
        <f aca="false">COUNTIF('Daily Plan'!$G$4:$G$263,A25)</f>
        <v>8</v>
      </c>
      <c r="G25" s="30" t="n">
        <f aca="false">SUMIFS('Daily Plan'!$N$4:$N$263,'Daily Plan'!$G$4:$G$263,A25)</f>
        <v>32</v>
      </c>
      <c r="H25" s="30" t="n">
        <f aca="false">SUMIFS('Daily Plan'!$O$4:$O$263,'Daily Plan'!$G$4:$G$263,A25)</f>
        <v>0</v>
      </c>
      <c r="I25" s="81" t="n">
        <f aca="false">IF(SUM($G$5:$G$26)=0,0,G25/SUM($G$5:$G$26))</f>
        <v>0.0307692307692308</v>
      </c>
    </row>
    <row r="26" customFormat="false" ht="15" hidden="false" customHeight="false" outlineLevel="0" collapsed="false">
      <c r="A26" s="24" t="s">
        <v>952</v>
      </c>
      <c r="B26" s="24" t="s">
        <v>1556</v>
      </c>
      <c r="C26" s="24" t="s">
        <v>1556</v>
      </c>
      <c r="D26" s="24" t="s">
        <v>1557</v>
      </c>
      <c r="E26" s="24"/>
      <c r="F26" s="10" t="n">
        <f aca="false">COUNTIF('Daily Plan'!$G$4:$G$263,A26)</f>
        <v>6</v>
      </c>
      <c r="G26" s="30" t="n">
        <f aca="false">SUMIFS('Daily Plan'!$N$4:$N$263,'Daily Plan'!$G$4:$G$263,A26)</f>
        <v>24</v>
      </c>
      <c r="H26" s="30" t="n">
        <f aca="false">SUMIFS('Daily Plan'!$O$4:$O$263,'Daily Plan'!$G$4:$G$263,A26)</f>
        <v>0</v>
      </c>
      <c r="I26" s="81" t="n">
        <f aca="false">IF(SUM($G$5:$G$26)=0,0,G26/SUM($G$5:$G$26))</f>
        <v>0.0230769230769231</v>
      </c>
    </row>
    <row r="27" customFormat="false" ht="15" hidden="false" customHeight="false" outlineLevel="0" collapsed="false">
      <c r="A27" s="39" t="s">
        <v>1558</v>
      </c>
      <c r="B27" s="39"/>
      <c r="C27" s="39"/>
      <c r="D27" s="39"/>
      <c r="E27" s="39"/>
      <c r="F27" s="39" t="n">
        <f aca="false">SUM(F5:F26)</f>
        <v>260</v>
      </c>
      <c r="G27" s="39" t="n">
        <f aca="false">SUM(G5:G26)</f>
        <v>1040</v>
      </c>
      <c r="H27" s="39" t="n">
        <f aca="false">SUM(H5:H26)</f>
        <v>0</v>
      </c>
      <c r="I27" s="82" t="n">
        <f aca="false">SUM(I5:I26)</f>
        <v>1</v>
      </c>
    </row>
  </sheetData>
  <conditionalFormatting sqref="I5:I26">
    <cfRule type="dataBar" priority="2">
      <dataBar showValue="1" minLength="10" maxLength="90">
        <cfvo type="num" val="0"/>
        <cfvo type="max" val="0"/>
        <color rgb="FF80CBC4"/>
      </dataBar>
      <extLst>
        <ext xmlns:x14="http://schemas.microsoft.com/office/spreadsheetml/2009/9/main" uri="{B025F937-C7B1-47D3-B67F-A62EFF666E3E}">
          <x14:id>{2EC5FD5B-7995-4947-AD5B-DFBA6D9EF942}</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2EC5FD5B-7995-4947-AD5B-DFBA6D9EF942}">
            <x14:dataBar minLength="10" maxLength="90" axisPosition="none" gradient="true">
              <x14:cfvo type="num">
                <xm:f>0</xm:f>
              </x14:cfvo>
              <x14:cfvo type="max"/>
              <x14:negativeFillColor rgb="FF80CBC4"/>
              <x14:axisColor rgb="FF000000"/>
            </x14:dataBar>
          </x14:cfRule>
          <xm:sqref>I5:I26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50"/>
    <col collapsed="false" customWidth="true" hidden="false" outlineLevel="0" max="4" min="4" style="0" width="46"/>
    <col collapsed="false" customWidth="true" hidden="false" outlineLevel="0" max="5" min="5" style="0" width="7"/>
    <col collapsed="false" customWidth="true" hidden="false" outlineLevel="0" max="6" min="6" style="0" width="32"/>
    <col collapsed="false" customWidth="true" hidden="false" outlineLevel="0" max="7" min="7" style="0" width="10"/>
    <col collapsed="false" customWidth="true" hidden="false" outlineLevel="0" max="8" min="8" style="0" width="13"/>
  </cols>
  <sheetData>
    <row r="1" customFormat="false" ht="24" hidden="false" customHeight="true" outlineLevel="0" collapsed="false">
      <c r="A1" s="1" t="s">
        <v>1559</v>
      </c>
    </row>
    <row r="2" customFormat="false" ht="15" hidden="false" customHeight="false" outlineLevel="0" collapsed="false">
      <c r="A2" s="2" t="s">
        <v>1560</v>
      </c>
    </row>
    <row r="3" customFormat="false" ht="30" hidden="false" customHeight="true" outlineLevel="0" collapsed="false">
      <c r="A3" s="5" t="s">
        <v>1561</v>
      </c>
      <c r="B3" s="5" t="s">
        <v>1562</v>
      </c>
      <c r="C3" s="5" t="s">
        <v>386</v>
      </c>
      <c r="D3" s="5" t="s">
        <v>387</v>
      </c>
      <c r="E3" s="5" t="s">
        <v>384</v>
      </c>
      <c r="F3" s="5" t="s">
        <v>1501</v>
      </c>
      <c r="G3" s="5" t="s">
        <v>1563</v>
      </c>
      <c r="H3" s="5" t="s">
        <v>39</v>
      </c>
    </row>
    <row r="4" customFormat="false" ht="18" hidden="false" customHeight="true" outlineLevel="0" collapsed="false">
      <c r="A4" s="24" t="s">
        <v>1564</v>
      </c>
      <c r="B4" s="24" t="s">
        <v>1565</v>
      </c>
      <c r="C4" s="24" t="s">
        <v>1566</v>
      </c>
      <c r="D4" s="24" t="s">
        <v>1567</v>
      </c>
      <c r="E4" s="24" t="s">
        <v>393</v>
      </c>
      <c r="F4" s="83" t="str">
        <f aca="false">IFERROR(INDEX(Roles!$D$5:$D$26,MATCH(E4,Roles!$A$5:$A$26,0)),"")</f>
        <v>medilens-product-manager</v>
      </c>
      <c r="G4" s="24" t="s">
        <v>124</v>
      </c>
      <c r="H4" s="9" t="n">
        <f aca="false">INDEX(Sprints!$D$4:$D$29,MATCH(G4,Sprints!$A$4:$A$29,0))</f>
        <v>46314</v>
      </c>
    </row>
    <row r="5" customFormat="false" ht="18" hidden="false" customHeight="true" outlineLevel="0" collapsed="false">
      <c r="A5" s="24" t="s">
        <v>1568</v>
      </c>
      <c r="B5" s="24" t="s">
        <v>1569</v>
      </c>
      <c r="C5" s="24" t="s">
        <v>1570</v>
      </c>
      <c r="D5" s="24" t="s">
        <v>1571</v>
      </c>
      <c r="E5" s="24" t="s">
        <v>393</v>
      </c>
      <c r="F5" s="83" t="str">
        <f aca="false">IFERROR(INDEX(Roles!$D$5:$D$26,MATCH(E5,Roles!$A$5:$A$26,0)),"")</f>
        <v>medilens-product-manager</v>
      </c>
      <c r="G5" s="24" t="s">
        <v>124</v>
      </c>
      <c r="H5" s="9" t="n">
        <f aca="false">INDEX(Sprints!$D$4:$D$29,MATCH(G5,Sprints!$A$4:$A$29,0))</f>
        <v>46314</v>
      </c>
    </row>
    <row r="6" customFormat="false" ht="18" hidden="false" customHeight="true" outlineLevel="0" collapsed="false">
      <c r="A6" s="24" t="s">
        <v>1572</v>
      </c>
      <c r="B6" s="24" t="s">
        <v>1573</v>
      </c>
      <c r="C6" s="24" t="s">
        <v>1574</v>
      </c>
      <c r="D6" s="24" t="s">
        <v>1575</v>
      </c>
      <c r="E6" s="24" t="s">
        <v>411</v>
      </c>
      <c r="F6" s="83" t="str">
        <f aca="false">IFERROR(INDEX(Roles!$D$5:$D$26,MATCH(E6,Roles!$A$5:$A$26,0)),"")</f>
        <v>medilens-business-analyst</v>
      </c>
      <c r="G6" s="24" t="s">
        <v>124</v>
      </c>
      <c r="H6" s="9" t="n">
        <f aca="false">INDEX(Sprints!$D$4:$D$29,MATCH(G6,Sprints!$A$4:$A$29,0))</f>
        <v>46314</v>
      </c>
    </row>
    <row r="7" customFormat="false" ht="31.5" hidden="false" customHeight="true" outlineLevel="0" collapsed="false">
      <c r="A7" s="24" t="s">
        <v>1576</v>
      </c>
      <c r="B7" s="24" t="s">
        <v>1577</v>
      </c>
      <c r="C7" s="24" t="s">
        <v>1578</v>
      </c>
      <c r="D7" s="24" t="s">
        <v>1579</v>
      </c>
      <c r="E7" s="24" t="s">
        <v>393</v>
      </c>
      <c r="F7" s="83" t="str">
        <f aca="false">IFERROR(INDEX(Roles!$D$5:$D$26,MATCH(E7,Roles!$A$5:$A$26,0)),"")</f>
        <v>medilens-product-manager</v>
      </c>
      <c r="G7" s="24" t="s">
        <v>124</v>
      </c>
      <c r="H7" s="9" t="n">
        <f aca="false">INDEX(Sprints!$D$4:$D$29,MATCH(G7,Sprints!$A$4:$A$29,0))</f>
        <v>46314</v>
      </c>
    </row>
    <row r="8" customFormat="false" ht="18" hidden="false" customHeight="true" outlineLevel="0" collapsed="false">
      <c r="A8" s="24" t="s">
        <v>1580</v>
      </c>
      <c r="B8" s="24" t="s">
        <v>1581</v>
      </c>
      <c r="C8" s="24" t="s">
        <v>1582</v>
      </c>
      <c r="D8" s="24" t="s">
        <v>1583</v>
      </c>
      <c r="E8" s="24" t="s">
        <v>579</v>
      </c>
      <c r="F8" s="83" t="str">
        <f aca="false">IFERROR(INDEX(Roles!$D$5:$D$26,MATCH(E8,Roles!$A$5:$A$26,0)),"")</f>
        <v>medilens-mlops-engineer</v>
      </c>
      <c r="G8" s="24" t="s">
        <v>133</v>
      </c>
      <c r="H8" s="9" t="n">
        <f aca="false">INDEX(Sprints!$D$4:$D$29,MATCH(G8,Sprints!$A$4:$A$29,0))</f>
        <v>46371</v>
      </c>
    </row>
    <row r="9" customFormat="false" ht="31.5" hidden="false" customHeight="true" outlineLevel="0" collapsed="false">
      <c r="A9" s="24" t="s">
        <v>1580</v>
      </c>
      <c r="B9" s="24" t="s">
        <v>1581</v>
      </c>
      <c r="C9" s="24" t="s">
        <v>1584</v>
      </c>
      <c r="D9" s="24" t="s">
        <v>1585</v>
      </c>
      <c r="E9" s="24" t="s">
        <v>517</v>
      </c>
      <c r="F9" s="83" t="str">
        <f aca="false">IFERROR(INDEX(Roles!$D$5:$D$26,MATCH(E9,Roles!$A$5:$A$26,0)),"")</f>
        <v>medilens-security-engineer</v>
      </c>
      <c r="G9" s="24" t="s">
        <v>132</v>
      </c>
      <c r="H9" s="9" t="n">
        <f aca="false">INDEX(Sprints!$D$4:$D$29,MATCH(G9,Sprints!$A$4:$A$29,0))</f>
        <v>46342</v>
      </c>
    </row>
    <row r="10" customFormat="false" ht="31.5" hidden="false" customHeight="true" outlineLevel="0" collapsed="false">
      <c r="A10" s="24" t="s">
        <v>1580</v>
      </c>
      <c r="B10" s="24" t="s">
        <v>1581</v>
      </c>
      <c r="C10" s="24" t="s">
        <v>1586</v>
      </c>
      <c r="D10" s="24" t="s">
        <v>1587</v>
      </c>
      <c r="E10" s="24" t="s">
        <v>558</v>
      </c>
      <c r="F10" s="83" t="str">
        <f aca="false">IFERROR(INDEX(Roles!$D$5:$D$26,MATCH(E10,Roles!$A$5:$A$26,0)),"")</f>
        <v>medilens-data-engineer</v>
      </c>
      <c r="G10" s="24" t="s">
        <v>157</v>
      </c>
      <c r="H10" s="9" t="n">
        <f aca="false">INDEX(Sprints!$D$4:$D$29,MATCH(G10,Sprints!$A$4:$A$29,0))</f>
        <v>46535</v>
      </c>
    </row>
    <row r="11" customFormat="false" ht="31.5" hidden="false" customHeight="true" outlineLevel="0" collapsed="false">
      <c r="A11" s="24" t="s">
        <v>1588</v>
      </c>
      <c r="B11" s="24" t="s">
        <v>1589</v>
      </c>
      <c r="C11" s="24" t="s">
        <v>1590</v>
      </c>
      <c r="D11" s="24" t="s">
        <v>1591</v>
      </c>
      <c r="E11" s="24" t="s">
        <v>393</v>
      </c>
      <c r="F11" s="83" t="str">
        <f aca="false">IFERROR(INDEX(Roles!$D$5:$D$26,MATCH(E11,Roles!$A$5:$A$26,0)),"")</f>
        <v>medilens-product-manager</v>
      </c>
      <c r="G11" s="24" t="s">
        <v>125</v>
      </c>
      <c r="H11" s="9" t="n">
        <f aca="false">INDEX(Sprints!$D$4:$D$29,MATCH(G11,Sprints!$A$4:$A$29,0))</f>
        <v>46328</v>
      </c>
    </row>
    <row r="12" customFormat="false" ht="18" hidden="false" customHeight="true" outlineLevel="0" collapsed="false">
      <c r="A12" s="24" t="s">
        <v>1588</v>
      </c>
      <c r="B12" s="24" t="s">
        <v>1589</v>
      </c>
      <c r="C12" s="24" t="s">
        <v>1592</v>
      </c>
      <c r="D12" s="24" t="s">
        <v>1593</v>
      </c>
      <c r="E12" s="24" t="s">
        <v>879</v>
      </c>
      <c r="F12" s="83" t="str">
        <f aca="false">IFERROR(INDEX(Roles!$D$5:$D$26,MATCH(E12,Roles!$A$5:$A$26,0)),"")</f>
        <v>medilens-sre-operations</v>
      </c>
      <c r="G12" s="24" t="s">
        <v>148</v>
      </c>
      <c r="H12" s="9" t="n">
        <f aca="false">INDEX(Sprints!$D$4:$D$29,MATCH(G12,Sprints!$A$4:$A$29,0))</f>
        <v>46477</v>
      </c>
    </row>
    <row r="13" customFormat="false" ht="31.5" hidden="false" customHeight="true" outlineLevel="0" collapsed="false">
      <c r="A13" s="24" t="s">
        <v>1588</v>
      </c>
      <c r="B13" s="24" t="s">
        <v>1589</v>
      </c>
      <c r="C13" s="24" t="s">
        <v>1594</v>
      </c>
      <c r="D13" s="24" t="s">
        <v>1595</v>
      </c>
      <c r="E13" s="24" t="s">
        <v>486</v>
      </c>
      <c r="F13" s="83" t="str">
        <f aca="false">IFERROR(INDEX(Roles!$D$5:$D$26,MATCH(E13,Roles!$A$5:$A$26,0)),"")</f>
        <v>medilens-cloud-devops-engineer</v>
      </c>
      <c r="G13" s="24" t="s">
        <v>140</v>
      </c>
      <c r="H13" s="9" t="n">
        <f aca="false">INDEX(Sprints!$D$4:$D$29,MATCH(G13,Sprints!$A$4:$A$29,0))</f>
        <v>46385</v>
      </c>
    </row>
    <row r="14" customFormat="false" ht="18" hidden="false" customHeight="true" outlineLevel="0" collapsed="false">
      <c r="A14" s="24" t="s">
        <v>1588</v>
      </c>
      <c r="B14" s="24" t="s">
        <v>1589</v>
      </c>
      <c r="C14" s="24" t="s">
        <v>1596</v>
      </c>
      <c r="D14" s="24" t="s">
        <v>1597</v>
      </c>
      <c r="E14" s="24" t="s">
        <v>517</v>
      </c>
      <c r="F14" s="83" t="str">
        <f aca="false">IFERROR(INDEX(Roles!$D$5:$D$26,MATCH(E14,Roles!$A$5:$A$26,0)),"")</f>
        <v>medilens-security-engineer</v>
      </c>
      <c r="G14" s="24" t="s">
        <v>148</v>
      </c>
      <c r="H14" s="9" t="n">
        <f aca="false">INDEX(Sprints!$D$4:$D$29,MATCH(G14,Sprints!$A$4:$A$29,0))</f>
        <v>46477</v>
      </c>
    </row>
    <row r="15" customFormat="false" ht="18" hidden="false" customHeight="true" outlineLevel="0" collapsed="false">
      <c r="A15" s="24" t="s">
        <v>1598</v>
      </c>
      <c r="B15" s="24" t="s">
        <v>1599</v>
      </c>
      <c r="C15" s="24" t="s">
        <v>1600</v>
      </c>
      <c r="D15" s="24" t="s">
        <v>1601</v>
      </c>
      <c r="E15" s="24" t="s">
        <v>459</v>
      </c>
      <c r="F15" s="83" t="str">
        <f aca="false">IFERROR(INDEX(Roles!$D$5:$D$26,MATCH(E15,Roles!$A$5:$A$26,0)),"")</f>
        <v>medilens-data-curator</v>
      </c>
      <c r="G15" s="24" t="s">
        <v>133</v>
      </c>
      <c r="H15" s="9" t="n">
        <f aca="false">INDEX(Sprints!$D$4:$D$29,MATCH(G15,Sprints!$A$4:$A$29,0))</f>
        <v>46371</v>
      </c>
    </row>
    <row r="16" customFormat="false" ht="18" hidden="false" customHeight="true" outlineLevel="0" collapsed="false">
      <c r="A16" s="24" t="s">
        <v>1598</v>
      </c>
      <c r="B16" s="24" t="s">
        <v>1599</v>
      </c>
      <c r="C16" s="24" t="s">
        <v>1602</v>
      </c>
      <c r="D16" s="24" t="s">
        <v>1603</v>
      </c>
      <c r="E16" s="24" t="s">
        <v>454</v>
      </c>
      <c r="F16" s="83" t="str">
        <f aca="false">IFERROR(INDEX(Roles!$D$5:$D$26,MATCH(E16,Roles!$A$5:$A$26,0)),"")</f>
        <v>medilens-ai-ml-engineer</v>
      </c>
      <c r="G16" s="24" t="s">
        <v>141</v>
      </c>
      <c r="H16" s="9" t="n">
        <f aca="false">INDEX(Sprints!$D$4:$D$29,MATCH(G16,Sprints!$A$4:$A$29,0))</f>
        <v>46463</v>
      </c>
    </row>
    <row r="17" customFormat="false" ht="18" hidden="false" customHeight="true" outlineLevel="0" collapsed="false">
      <c r="A17" s="24" t="s">
        <v>1598</v>
      </c>
      <c r="B17" s="24" t="s">
        <v>1599</v>
      </c>
      <c r="C17" s="24" t="s">
        <v>1604</v>
      </c>
      <c r="D17" s="24" t="s">
        <v>1605</v>
      </c>
      <c r="E17" s="24" t="s">
        <v>579</v>
      </c>
      <c r="F17" s="83" t="str">
        <f aca="false">IFERROR(INDEX(Roles!$D$5:$D$26,MATCH(E17,Roles!$A$5:$A$26,0)),"")</f>
        <v>medilens-mlops-engineer</v>
      </c>
      <c r="G17" s="24" t="s">
        <v>141</v>
      </c>
      <c r="H17" s="9" t="n">
        <f aca="false">INDEX(Sprints!$D$4:$D$29,MATCH(G17,Sprints!$A$4:$A$29,0))</f>
        <v>46463</v>
      </c>
    </row>
    <row r="18" customFormat="false" ht="18" hidden="false" customHeight="true" outlineLevel="0" collapsed="false">
      <c r="A18" s="24" t="s">
        <v>1598</v>
      </c>
      <c r="B18" s="24" t="s">
        <v>1599</v>
      </c>
      <c r="C18" s="24" t="s">
        <v>1606</v>
      </c>
      <c r="D18" s="24" t="s">
        <v>1607</v>
      </c>
      <c r="E18" s="24" t="s">
        <v>517</v>
      </c>
      <c r="F18" s="83" t="str">
        <f aca="false">IFERROR(INDEX(Roles!$D$5:$D$26,MATCH(E18,Roles!$A$5:$A$26,0)),"")</f>
        <v>medilens-security-engineer</v>
      </c>
      <c r="G18" s="24" t="s">
        <v>140</v>
      </c>
      <c r="H18" s="9" t="n">
        <f aca="false">INDEX(Sprints!$D$4:$D$29,MATCH(G18,Sprints!$A$4:$A$29,0))</f>
        <v>46385</v>
      </c>
    </row>
    <row r="19" customFormat="false" ht="18" hidden="false" customHeight="true" outlineLevel="0" collapsed="false">
      <c r="A19" s="24" t="s">
        <v>1598</v>
      </c>
      <c r="B19" s="24" t="s">
        <v>1599</v>
      </c>
      <c r="C19" s="24" t="s">
        <v>1608</v>
      </c>
      <c r="D19" s="24" t="s">
        <v>1609</v>
      </c>
      <c r="E19" s="24" t="s">
        <v>429</v>
      </c>
      <c r="F19" s="83" t="str">
        <f aca="false">IFERROR(INDEX(Roles!$D$5:$D$26,MATCH(E19,Roles!$A$5:$A$26,0)),"")</f>
        <v>medilens-clinical-safety-officer</v>
      </c>
      <c r="G19" s="24" t="s">
        <v>141</v>
      </c>
      <c r="H19" s="9" t="n">
        <f aca="false">INDEX(Sprints!$D$4:$D$29,MATCH(G19,Sprints!$A$4:$A$29,0))</f>
        <v>46463</v>
      </c>
    </row>
    <row r="20" customFormat="false" ht="18" hidden="false" customHeight="true" outlineLevel="0" collapsed="false">
      <c r="A20" s="24" t="s">
        <v>1610</v>
      </c>
      <c r="B20" s="24" t="s">
        <v>1611</v>
      </c>
      <c r="C20" s="24" t="s">
        <v>1612</v>
      </c>
      <c r="D20" s="24" t="s">
        <v>1613</v>
      </c>
      <c r="E20" s="24" t="s">
        <v>517</v>
      </c>
      <c r="F20" s="83" t="str">
        <f aca="false">IFERROR(INDEX(Roles!$D$5:$D$26,MATCH(E20,Roles!$A$5:$A$26,0)),"")</f>
        <v>medilens-security-engineer</v>
      </c>
      <c r="G20" s="24" t="s">
        <v>192</v>
      </c>
      <c r="H20" s="9" t="n">
        <f aca="false">INDEX(Sprints!$D$4:$D$29,MATCH(G20,Sprints!$A$4:$A$29,0))</f>
        <v>46491</v>
      </c>
    </row>
    <row r="21" customFormat="false" ht="18" hidden="false" customHeight="true" outlineLevel="0" collapsed="false">
      <c r="A21" s="24" t="s">
        <v>1610</v>
      </c>
      <c r="B21" s="24" t="s">
        <v>1611</v>
      </c>
      <c r="C21" s="24" t="s">
        <v>1614</v>
      </c>
      <c r="D21" s="24" t="s">
        <v>1614</v>
      </c>
      <c r="E21" s="24" t="s">
        <v>879</v>
      </c>
      <c r="F21" s="83" t="str">
        <f aca="false">IFERROR(INDEX(Roles!$D$5:$D$26,MATCH(E21,Roles!$A$5:$A$26,0)),"")</f>
        <v>medilens-sre-operations</v>
      </c>
      <c r="G21" s="24" t="s">
        <v>192</v>
      </c>
      <c r="H21" s="9" t="n">
        <f aca="false">INDEX(Sprints!$D$4:$D$29,MATCH(G21,Sprints!$A$4:$A$29,0))</f>
        <v>46491</v>
      </c>
    </row>
    <row r="22" customFormat="false" ht="18" hidden="false" customHeight="true" outlineLevel="0" collapsed="false">
      <c r="A22" s="24" t="s">
        <v>1615</v>
      </c>
      <c r="B22" s="24" t="s">
        <v>1616</v>
      </c>
      <c r="C22" s="24" t="s">
        <v>1617</v>
      </c>
      <c r="D22" s="24" t="s">
        <v>1618</v>
      </c>
      <c r="E22" s="24" t="s">
        <v>517</v>
      </c>
      <c r="F22" s="83" t="str">
        <f aca="false">IFERROR(INDEX(Roles!$D$5:$D$26,MATCH(E22,Roles!$A$5:$A$26,0)),"")</f>
        <v>medilens-security-engineer</v>
      </c>
      <c r="G22" s="24" t="s">
        <v>149</v>
      </c>
      <c r="H22" s="9" t="n">
        <f aca="false">INDEX(Sprints!$D$4:$D$29,MATCH(G22,Sprints!$A$4:$A$29,0))</f>
        <v>46506</v>
      </c>
    </row>
    <row r="23" customFormat="false" ht="18" hidden="false" customHeight="true" outlineLevel="0" collapsed="false">
      <c r="A23" s="24" t="s">
        <v>1615</v>
      </c>
      <c r="B23" s="24" t="s">
        <v>1616</v>
      </c>
      <c r="C23" s="24" t="s">
        <v>1619</v>
      </c>
      <c r="D23" s="24" t="s">
        <v>1620</v>
      </c>
      <c r="E23" s="24" t="s">
        <v>402</v>
      </c>
      <c r="F23" s="83" t="str">
        <f aca="false">IFERROR(INDEX(Roles!$D$5:$D$26,MATCH(E23,Roles!$A$5:$A$26,0)),"")</f>
        <v>medilens-regulatory-privacy-officer</v>
      </c>
      <c r="G23" s="24" t="s">
        <v>125</v>
      </c>
      <c r="H23" s="9" t="n">
        <f aca="false">INDEX(Sprints!$D$4:$D$29,MATCH(G23,Sprints!$A$4:$A$29,0))</f>
        <v>46328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30"/>
    <col collapsed="false" customWidth="true" hidden="false" outlineLevel="0" max="4" min="4" style="0" width="48"/>
  </cols>
  <sheetData>
    <row r="1" customFormat="false" ht="24" hidden="false" customHeight="true" outlineLevel="0" collapsed="false">
      <c r="A1" s="1" t="s">
        <v>1621</v>
      </c>
    </row>
    <row r="2" customFormat="false" ht="15" hidden="false" customHeight="false" outlineLevel="0" collapsed="false">
      <c r="A2" s="2" t="s">
        <v>1622</v>
      </c>
    </row>
    <row r="4" customFormat="false" ht="30" hidden="false" customHeight="true" outlineLevel="0" collapsed="false">
      <c r="A4" s="5" t="s">
        <v>382</v>
      </c>
      <c r="B4" s="5" t="s">
        <v>112</v>
      </c>
      <c r="C4" s="5" t="s">
        <v>113</v>
      </c>
      <c r="D4" s="5" t="s">
        <v>1623</v>
      </c>
    </row>
    <row r="5" customFormat="false" ht="15" hidden="false" customHeight="false" outlineLevel="0" collapsed="false">
      <c r="A5" s="84" t="n">
        <v>46350</v>
      </c>
      <c r="B5" s="79" t="s">
        <v>1624</v>
      </c>
      <c r="C5" s="79" t="s">
        <v>1625</v>
      </c>
      <c r="D5" s="79" t="s">
        <v>1626</v>
      </c>
    </row>
    <row r="6" customFormat="false" ht="15" hidden="false" customHeight="false" outlineLevel="0" collapsed="false">
      <c r="A6" s="84" t="n">
        <v>46388</v>
      </c>
      <c r="B6" s="79" t="s">
        <v>1627</v>
      </c>
      <c r="C6" s="79" t="s">
        <v>1628</v>
      </c>
      <c r="D6" s="79" t="s">
        <v>1629</v>
      </c>
    </row>
    <row r="7" customFormat="false" ht="15" hidden="false" customHeight="false" outlineLevel="0" collapsed="false">
      <c r="A7" s="84" t="n">
        <v>46422</v>
      </c>
      <c r="B7" s="79" t="s">
        <v>1630</v>
      </c>
      <c r="C7" s="79" t="s">
        <v>1631</v>
      </c>
      <c r="D7" s="79" t="s">
        <v>1632</v>
      </c>
    </row>
    <row r="8" customFormat="false" ht="15" hidden="false" customHeight="false" outlineLevel="0" collapsed="false">
      <c r="A8" s="84" t="n">
        <v>46423</v>
      </c>
      <c r="B8" s="79" t="s">
        <v>1633</v>
      </c>
      <c r="C8" s="79" t="s">
        <v>1631</v>
      </c>
      <c r="D8" s="79" t="s">
        <v>1634</v>
      </c>
    </row>
    <row r="9" customFormat="false" ht="15" hidden="false" customHeight="false" outlineLevel="0" collapsed="false">
      <c r="A9" s="84" t="n">
        <v>46426</v>
      </c>
      <c r="B9" s="79" t="s">
        <v>1633</v>
      </c>
      <c r="C9" s="79" t="s">
        <v>1631</v>
      </c>
      <c r="D9" s="79" t="s">
        <v>1634</v>
      </c>
    </row>
    <row r="10" customFormat="false" ht="15" hidden="false" customHeight="false" outlineLevel="0" collapsed="false">
      <c r="A10" s="84" t="n">
        <v>46427</v>
      </c>
      <c r="B10" s="79" t="s">
        <v>1633</v>
      </c>
      <c r="C10" s="79" t="s">
        <v>1631</v>
      </c>
      <c r="D10" s="79" t="s">
        <v>1634</v>
      </c>
    </row>
    <row r="11" customFormat="false" ht="15" hidden="false" customHeight="false" outlineLevel="0" collapsed="false">
      <c r="A11" s="84" t="n">
        <v>46428</v>
      </c>
      <c r="B11" s="79" t="s">
        <v>1633</v>
      </c>
      <c r="C11" s="79" t="s">
        <v>1631</v>
      </c>
      <c r="D11" s="79" t="s">
        <v>1634</v>
      </c>
    </row>
    <row r="12" customFormat="false" ht="15" hidden="false" customHeight="false" outlineLevel="0" collapsed="false">
      <c r="A12" s="84" t="n">
        <v>46493</v>
      </c>
      <c r="B12" s="79" t="s">
        <v>1635</v>
      </c>
      <c r="C12" s="79" t="s">
        <v>1636</v>
      </c>
      <c r="D12" s="79" t="s">
        <v>1637</v>
      </c>
    </row>
    <row r="13" customFormat="false" ht="15" hidden="false" customHeight="false" outlineLevel="0" collapsed="false">
      <c r="A13" s="84" t="n">
        <v>46507</v>
      </c>
      <c r="B13" s="79" t="s">
        <v>1638</v>
      </c>
      <c r="C13" s="79" t="s">
        <v>1639</v>
      </c>
      <c r="D13" s="79" t="s">
        <v>1629</v>
      </c>
    </row>
    <row r="14" customFormat="false" ht="15" hidden="false" customHeight="false" outlineLevel="0" collapsed="false">
      <c r="A14" s="84" t="n">
        <v>46508</v>
      </c>
      <c r="B14" s="79" t="s">
        <v>1640</v>
      </c>
      <c r="C14" s="79" t="s">
        <v>1641</v>
      </c>
      <c r="D14" s="79" t="s">
        <v>1629</v>
      </c>
    </row>
    <row r="15" customFormat="false" ht="15" hidden="false" customHeight="false" outlineLevel="0" collapsed="false">
      <c r="A15" s="84" t="n">
        <v>46632</v>
      </c>
      <c r="B15" s="79" t="s">
        <v>1642</v>
      </c>
      <c r="C15" s="79" t="s">
        <v>1643</v>
      </c>
      <c r="D15" s="79" t="s">
        <v>1629</v>
      </c>
    </row>
    <row r="16" customFormat="false" ht="15" hidden="false" customHeight="false" outlineLevel="0" collapsed="false">
      <c r="A16" s="84" t="n">
        <v>46633</v>
      </c>
      <c r="B16" s="79" t="s">
        <v>1644</v>
      </c>
      <c r="C16" s="79" t="s">
        <v>1645</v>
      </c>
      <c r="D16" s="79" t="s">
        <v>1646</v>
      </c>
    </row>
    <row r="17" customFormat="false" ht="15" hidden="false" customHeight="false" outlineLevel="0" collapsed="false">
      <c r="A17" s="84"/>
      <c r="B17" s="79"/>
      <c r="C17" s="79"/>
      <c r="D17" s="79"/>
    </row>
    <row r="18" customFormat="false" ht="15" hidden="false" customHeight="false" outlineLevel="0" collapsed="false">
      <c r="A18" s="84"/>
      <c r="B18" s="79"/>
      <c r="C18" s="79"/>
      <c r="D18" s="79"/>
    </row>
    <row r="19" customFormat="false" ht="15" hidden="false" customHeight="false" outlineLevel="0" collapsed="false">
      <c r="A19" s="84"/>
      <c r="B19" s="79"/>
      <c r="C19" s="79"/>
      <c r="D19" s="79"/>
    </row>
    <row r="20" customFormat="false" ht="15" hidden="false" customHeight="false" outlineLevel="0" collapsed="false">
      <c r="A20" s="84"/>
      <c r="B20" s="79"/>
      <c r="C20" s="79"/>
      <c r="D20" s="79"/>
    </row>
    <row r="21" customFormat="false" ht="15" hidden="false" customHeight="false" outlineLevel="0" collapsed="false">
      <c r="A21" s="84"/>
      <c r="B21" s="79"/>
      <c r="C21" s="79"/>
      <c r="D21" s="79"/>
    </row>
    <row r="22" customFormat="false" ht="15" hidden="false" customHeight="false" outlineLevel="0" collapsed="false">
      <c r="A22" s="84"/>
      <c r="B22" s="79"/>
      <c r="C22" s="79"/>
      <c r="D22" s="79"/>
    </row>
    <row r="23" customFormat="false" ht="15" hidden="false" customHeight="false" outlineLevel="0" collapsed="false">
      <c r="A23" s="84"/>
      <c r="B23" s="79"/>
      <c r="C23" s="79"/>
      <c r="D23" s="79"/>
    </row>
    <row r="24" customFormat="false" ht="15" hidden="false" customHeight="false" outlineLevel="0" collapsed="false">
      <c r="A24" s="84"/>
      <c r="B24" s="79"/>
      <c r="C24" s="79"/>
      <c r="D24" s="79"/>
    </row>
    <row r="25" customFormat="false" ht="15" hidden="false" customHeight="false" outlineLevel="0" collapsed="false">
      <c r="A25" s="84"/>
      <c r="B25" s="79"/>
      <c r="C25" s="79"/>
      <c r="D25" s="79"/>
    </row>
    <row r="26" customFormat="false" ht="15" hidden="false" customHeight="false" outlineLevel="0" collapsed="false">
      <c r="A26" s="84"/>
      <c r="B26" s="79"/>
      <c r="C26" s="79"/>
      <c r="D26" s="79"/>
    </row>
    <row r="27" customFormat="false" ht="15" hidden="false" customHeight="false" outlineLevel="0" collapsed="false">
      <c r="A27" s="84"/>
      <c r="B27" s="79"/>
      <c r="C27" s="79"/>
      <c r="D27" s="79"/>
    </row>
    <row r="28" customFormat="false" ht="15" hidden="false" customHeight="false" outlineLevel="0" collapsed="false">
      <c r="A28" s="84"/>
      <c r="B28" s="79"/>
      <c r="C28" s="79"/>
      <c r="D28" s="79"/>
    </row>
    <row r="29" customFormat="false" ht="15" hidden="false" customHeight="false" outlineLevel="0" collapsed="false">
      <c r="A29" s="84"/>
      <c r="B29" s="79"/>
      <c r="C29" s="79"/>
      <c r="D29" s="79"/>
    </row>
    <row r="30" customFormat="false" ht="15" hidden="false" customHeight="false" outlineLevel="0" collapsed="false">
      <c r="A30" s="84"/>
      <c r="B30" s="79"/>
      <c r="C30" s="79"/>
      <c r="D30" s="79"/>
    </row>
    <row r="31" customFormat="false" ht="15" hidden="false" customHeight="false" outlineLevel="0" collapsed="false">
      <c r="A31" s="84"/>
      <c r="B31" s="79"/>
      <c r="C31" s="79"/>
      <c r="D31" s="79"/>
    </row>
    <row r="32" customFormat="false" ht="15" hidden="false" customHeight="false" outlineLevel="0" collapsed="false">
      <c r="A32" s="84"/>
      <c r="B32" s="79"/>
      <c r="C32" s="79"/>
      <c r="D32" s="79"/>
    </row>
    <row r="33" customFormat="false" ht="15" hidden="false" customHeight="false" outlineLevel="0" collapsed="false">
      <c r="A33" s="84"/>
      <c r="B33" s="79"/>
      <c r="C33" s="79"/>
      <c r="D33" s="79"/>
    </row>
    <row r="34" customFormat="false" ht="15" hidden="false" customHeight="false" outlineLevel="0" collapsed="false">
      <c r="A34" s="84"/>
      <c r="B34" s="79"/>
      <c r="C34" s="79"/>
      <c r="D34" s="79"/>
    </row>
    <row r="35" customFormat="false" ht="15" hidden="false" customHeight="false" outlineLevel="0" collapsed="false">
      <c r="A35" s="84"/>
      <c r="B35" s="79"/>
      <c r="C35" s="79"/>
      <c r="D35" s="79"/>
    </row>
    <row r="36" customFormat="false" ht="15" hidden="false" customHeight="false" outlineLevel="0" collapsed="false">
      <c r="A36" s="84"/>
      <c r="B36" s="79"/>
      <c r="C36" s="79"/>
      <c r="D36" s="79"/>
    </row>
    <row r="37" customFormat="false" ht="15" hidden="false" customHeight="false" outlineLevel="0" collapsed="false">
      <c r="A37" s="84"/>
      <c r="B37" s="79"/>
      <c r="C37" s="79"/>
      <c r="D37" s="79"/>
    </row>
    <row r="38" customFormat="false" ht="15" hidden="false" customHeight="false" outlineLevel="0" collapsed="false">
      <c r="A38" s="84"/>
      <c r="B38" s="79"/>
      <c r="C38" s="79"/>
      <c r="D38" s="79"/>
    </row>
    <row r="39" customFormat="false" ht="15" hidden="false" customHeight="false" outlineLevel="0" collapsed="false">
      <c r="A39" s="84"/>
      <c r="B39" s="79"/>
      <c r="C39" s="79"/>
      <c r="D39" s="79"/>
    </row>
    <row r="40" customFormat="false" ht="15" hidden="false" customHeight="false" outlineLevel="0" collapsed="false">
      <c r="A40" s="84"/>
      <c r="B40" s="79"/>
      <c r="C40" s="79"/>
      <c r="D40" s="79"/>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44"/>
    <col collapsed="false" customWidth="true" hidden="false" outlineLevel="0" max="4" min="4" style="0" width="34"/>
    <col collapsed="false" customWidth="true" hidden="false" outlineLevel="0" max="5" min="5" style="0" width="20"/>
    <col collapsed="false" customWidth="true" hidden="false" outlineLevel="0" max="7" min="6" style="0" width="12"/>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1647</v>
      </c>
    </row>
    <row r="2" customFormat="false" ht="15" hidden="false" customHeight="false" outlineLevel="0" collapsed="false">
      <c r="A2" s="2" t="s">
        <v>1648</v>
      </c>
    </row>
    <row r="3" customFormat="false" ht="31.5" hidden="false" customHeight="true" outlineLevel="0" collapsed="false">
      <c r="A3" s="5" t="s">
        <v>1649</v>
      </c>
      <c r="B3" s="5" t="s">
        <v>1650</v>
      </c>
      <c r="C3" s="5" t="s">
        <v>1651</v>
      </c>
      <c r="D3" s="5" t="s">
        <v>1652</v>
      </c>
      <c r="E3" s="5" t="s">
        <v>1653</v>
      </c>
      <c r="F3" s="5" t="s">
        <v>1654</v>
      </c>
      <c r="G3" s="5" t="s">
        <v>1655</v>
      </c>
      <c r="H3" s="5" t="s">
        <v>1656</v>
      </c>
      <c r="I3" s="5" t="s">
        <v>1423</v>
      </c>
      <c r="J3" s="5" t="s">
        <v>62</v>
      </c>
    </row>
    <row r="4" customFormat="false" ht="15" hidden="false" customHeight="false" outlineLevel="0" collapsed="false">
      <c r="A4" s="85" t="s">
        <v>1657</v>
      </c>
      <c r="B4" s="86" t="n">
        <v>46359</v>
      </c>
      <c r="C4" s="85" t="s">
        <v>1658</v>
      </c>
      <c r="D4" s="85" t="s">
        <v>1659</v>
      </c>
      <c r="E4" s="85" t="s">
        <v>1660</v>
      </c>
      <c r="F4" s="85" t="n">
        <v>1</v>
      </c>
      <c r="G4" s="85" t="n">
        <v>0</v>
      </c>
      <c r="H4" s="85" t="s">
        <v>1661</v>
      </c>
      <c r="I4" s="85" t="s">
        <v>393</v>
      </c>
      <c r="J4" s="85" t="s">
        <v>1662</v>
      </c>
    </row>
    <row r="5" customFormat="false" ht="15" hidden="false" customHeight="false" outlineLevel="0" collapsed="false">
      <c r="A5" s="79"/>
      <c r="B5" s="25"/>
      <c r="C5" s="79"/>
      <c r="D5" s="79"/>
      <c r="E5" s="79"/>
      <c r="F5" s="79"/>
      <c r="G5" s="79"/>
      <c r="H5" s="79"/>
      <c r="I5" s="79"/>
      <c r="J5" s="79"/>
    </row>
    <row r="6" customFormat="false" ht="15" hidden="false" customHeight="false" outlineLevel="0" collapsed="false">
      <c r="A6" s="79"/>
      <c r="B6" s="25"/>
      <c r="C6" s="79"/>
      <c r="D6" s="79"/>
      <c r="E6" s="79"/>
      <c r="F6" s="79"/>
      <c r="G6" s="79"/>
      <c r="H6" s="79"/>
      <c r="I6" s="79"/>
      <c r="J6" s="79"/>
    </row>
    <row r="7" customFormat="false" ht="15" hidden="false" customHeight="false" outlineLevel="0" collapsed="false">
      <c r="A7" s="79"/>
      <c r="B7" s="25"/>
      <c r="C7" s="79"/>
      <c r="D7" s="79"/>
      <c r="E7" s="79"/>
      <c r="F7" s="79"/>
      <c r="G7" s="79"/>
      <c r="H7" s="79"/>
      <c r="I7" s="79"/>
      <c r="J7" s="79"/>
    </row>
    <row r="8" customFormat="false" ht="15" hidden="false" customHeight="false" outlineLevel="0" collapsed="false">
      <c r="A8" s="79"/>
      <c r="B8" s="25"/>
      <c r="C8" s="79"/>
      <c r="D8" s="79"/>
      <c r="E8" s="79"/>
      <c r="F8" s="79"/>
      <c r="G8" s="79"/>
      <c r="H8" s="79"/>
      <c r="I8" s="79"/>
      <c r="J8" s="79"/>
    </row>
    <row r="9" customFormat="false" ht="15" hidden="false" customHeight="false" outlineLevel="0" collapsed="false">
      <c r="A9" s="79"/>
      <c r="B9" s="25"/>
      <c r="C9" s="79"/>
      <c r="D9" s="79"/>
      <c r="E9" s="79"/>
      <c r="F9" s="79"/>
      <c r="G9" s="79"/>
      <c r="H9" s="79"/>
      <c r="I9" s="79"/>
      <c r="J9" s="79"/>
    </row>
    <row r="10" customFormat="false" ht="15" hidden="false" customHeight="false" outlineLevel="0" collapsed="false">
      <c r="A10" s="79"/>
      <c r="B10" s="25"/>
      <c r="C10" s="79"/>
      <c r="D10" s="79"/>
      <c r="E10" s="79"/>
      <c r="F10" s="79"/>
      <c r="G10" s="79"/>
      <c r="H10" s="79"/>
      <c r="I10" s="79"/>
      <c r="J10" s="79"/>
    </row>
    <row r="11" customFormat="false" ht="15" hidden="false" customHeight="false" outlineLevel="0" collapsed="false">
      <c r="A11" s="79"/>
      <c r="B11" s="25"/>
      <c r="C11" s="79"/>
      <c r="D11" s="79"/>
      <c r="E11" s="79"/>
      <c r="F11" s="79"/>
      <c r="G11" s="79"/>
      <c r="H11" s="79"/>
      <c r="I11" s="79"/>
      <c r="J11" s="79"/>
    </row>
    <row r="12" customFormat="false" ht="15" hidden="false" customHeight="false" outlineLevel="0" collapsed="false">
      <c r="A12" s="79"/>
      <c r="B12" s="25"/>
      <c r="C12" s="79"/>
      <c r="D12" s="79"/>
      <c r="E12" s="79"/>
      <c r="F12" s="79"/>
      <c r="G12" s="79"/>
      <c r="H12" s="79"/>
      <c r="I12" s="79"/>
      <c r="J12" s="79"/>
    </row>
    <row r="13" customFormat="false" ht="15" hidden="false" customHeight="false" outlineLevel="0" collapsed="false">
      <c r="A13" s="79"/>
      <c r="B13" s="25"/>
      <c r="C13" s="79"/>
      <c r="D13" s="79"/>
      <c r="E13" s="79"/>
      <c r="F13" s="79"/>
      <c r="G13" s="79"/>
      <c r="H13" s="79"/>
      <c r="I13" s="79"/>
      <c r="J13" s="79"/>
    </row>
    <row r="14" customFormat="false" ht="15" hidden="false" customHeight="false" outlineLevel="0" collapsed="false">
      <c r="A14" s="79"/>
      <c r="B14" s="25"/>
      <c r="C14" s="79"/>
      <c r="D14" s="79"/>
      <c r="E14" s="79"/>
      <c r="F14" s="79"/>
      <c r="G14" s="79"/>
      <c r="H14" s="79"/>
      <c r="I14" s="79"/>
      <c r="J14" s="79"/>
    </row>
    <row r="15" customFormat="false" ht="15" hidden="false" customHeight="false" outlineLevel="0" collapsed="false">
      <c r="A15" s="79"/>
      <c r="B15" s="25"/>
      <c r="C15" s="79"/>
      <c r="D15" s="79"/>
      <c r="E15" s="79"/>
      <c r="F15" s="79"/>
      <c r="G15" s="79"/>
      <c r="H15" s="79"/>
      <c r="I15" s="79"/>
      <c r="J15" s="79"/>
    </row>
    <row r="16" customFormat="false" ht="15" hidden="false" customHeight="false" outlineLevel="0" collapsed="false">
      <c r="A16" s="79"/>
      <c r="B16" s="25"/>
      <c r="C16" s="79"/>
      <c r="D16" s="79"/>
      <c r="E16" s="79"/>
      <c r="F16" s="79"/>
      <c r="G16" s="79"/>
      <c r="H16" s="79"/>
      <c r="I16" s="79"/>
      <c r="J16" s="79"/>
    </row>
    <row r="17" customFormat="false" ht="15" hidden="false" customHeight="false" outlineLevel="0" collapsed="false">
      <c r="A17" s="79"/>
      <c r="B17" s="25"/>
      <c r="C17" s="79"/>
      <c r="D17" s="79"/>
      <c r="E17" s="79"/>
      <c r="F17" s="79"/>
      <c r="G17" s="79"/>
      <c r="H17" s="79"/>
      <c r="I17" s="79"/>
      <c r="J17" s="79"/>
    </row>
    <row r="18" customFormat="false" ht="15" hidden="false" customHeight="false" outlineLevel="0" collapsed="false">
      <c r="A18" s="79"/>
      <c r="B18" s="25"/>
      <c r="C18" s="79"/>
      <c r="D18" s="79"/>
      <c r="E18" s="79"/>
      <c r="F18" s="79"/>
      <c r="G18" s="79"/>
      <c r="H18" s="79"/>
      <c r="I18" s="79"/>
      <c r="J18" s="79"/>
    </row>
    <row r="19" customFormat="false" ht="15" hidden="false" customHeight="false" outlineLevel="0" collapsed="false">
      <c r="A19" s="79"/>
      <c r="B19" s="25"/>
      <c r="C19" s="79"/>
      <c r="D19" s="79"/>
      <c r="E19" s="79"/>
      <c r="F19" s="79"/>
      <c r="G19" s="79"/>
      <c r="H19" s="79"/>
      <c r="I19" s="79"/>
      <c r="J19" s="79"/>
    </row>
    <row r="20" customFormat="false" ht="15" hidden="false" customHeight="false" outlineLevel="0" collapsed="false">
      <c r="A20" s="79"/>
      <c r="B20" s="25"/>
      <c r="C20" s="79"/>
      <c r="D20" s="79"/>
      <c r="E20" s="79"/>
      <c r="F20" s="79"/>
      <c r="G20" s="79"/>
      <c r="H20" s="79"/>
      <c r="I20" s="79"/>
      <c r="J20" s="79"/>
    </row>
    <row r="21" customFormat="false" ht="15" hidden="false" customHeight="false" outlineLevel="0" collapsed="false">
      <c r="A21" s="79"/>
      <c r="B21" s="25"/>
      <c r="C21" s="79"/>
      <c r="D21" s="79"/>
      <c r="E21" s="79"/>
      <c r="F21" s="79"/>
      <c r="G21" s="79"/>
      <c r="H21" s="79"/>
      <c r="I21" s="79"/>
      <c r="J21" s="79"/>
    </row>
    <row r="22" customFormat="false" ht="15" hidden="false" customHeight="false" outlineLevel="0" collapsed="false">
      <c r="A22" s="79"/>
      <c r="B22" s="25"/>
      <c r="C22" s="79"/>
      <c r="D22" s="79"/>
      <c r="E22" s="79"/>
      <c r="F22" s="79"/>
      <c r="G22" s="79"/>
      <c r="H22" s="79"/>
      <c r="I22" s="79"/>
      <c r="J22" s="79"/>
    </row>
    <row r="23" customFormat="false" ht="15" hidden="false" customHeight="false" outlineLevel="0" collapsed="false">
      <c r="A23" s="79"/>
      <c r="B23" s="25"/>
      <c r="C23" s="79"/>
      <c r="D23" s="79"/>
      <c r="E23" s="79"/>
      <c r="F23" s="79"/>
      <c r="G23" s="79"/>
      <c r="H23" s="79"/>
      <c r="I23" s="79"/>
      <c r="J23" s="79"/>
    </row>
    <row r="24" customFormat="false" ht="15" hidden="false" customHeight="false" outlineLevel="0" collapsed="false">
      <c r="A24" s="79"/>
      <c r="B24" s="25"/>
      <c r="C24" s="79"/>
      <c r="D24" s="79"/>
      <c r="E24" s="79"/>
      <c r="F24" s="79"/>
      <c r="G24" s="79"/>
      <c r="H24" s="79"/>
      <c r="I24" s="79"/>
      <c r="J24" s="79"/>
    </row>
    <row r="25" customFormat="false" ht="15" hidden="false" customHeight="false" outlineLevel="0" collapsed="false">
      <c r="A25" s="79"/>
      <c r="B25" s="25"/>
      <c r="C25" s="79"/>
      <c r="D25" s="79"/>
      <c r="E25" s="79"/>
      <c r="F25" s="79"/>
      <c r="G25" s="79"/>
      <c r="H25" s="79"/>
      <c r="I25" s="79"/>
      <c r="J25" s="79"/>
    </row>
    <row r="26" customFormat="false" ht="15" hidden="false" customHeight="false" outlineLevel="0" collapsed="false">
      <c r="A26" s="79"/>
      <c r="B26" s="25"/>
      <c r="C26" s="79"/>
      <c r="D26" s="79"/>
      <c r="E26" s="79"/>
      <c r="F26" s="79"/>
      <c r="G26" s="79"/>
      <c r="H26" s="79"/>
      <c r="I26" s="79"/>
      <c r="J26" s="79"/>
    </row>
    <row r="27" customFormat="false" ht="15" hidden="false" customHeight="false" outlineLevel="0" collapsed="false">
      <c r="A27" s="79"/>
      <c r="B27" s="25"/>
      <c r="C27" s="79"/>
      <c r="D27" s="79"/>
      <c r="E27" s="79"/>
      <c r="F27" s="79"/>
      <c r="G27" s="79"/>
      <c r="H27" s="79"/>
      <c r="I27" s="79"/>
      <c r="J27" s="79"/>
    </row>
    <row r="28" customFormat="false" ht="15" hidden="false" customHeight="false" outlineLevel="0" collapsed="false">
      <c r="A28" s="79"/>
      <c r="B28" s="25"/>
      <c r="C28" s="79"/>
      <c r="D28" s="79"/>
      <c r="E28" s="79"/>
      <c r="F28" s="79"/>
      <c r="G28" s="79"/>
      <c r="H28" s="79"/>
      <c r="I28" s="79"/>
      <c r="J28" s="79"/>
    </row>
    <row r="29" customFormat="false" ht="15" hidden="false" customHeight="false" outlineLevel="0" collapsed="false">
      <c r="A29" s="79"/>
      <c r="B29" s="25"/>
      <c r="C29" s="79"/>
      <c r="D29" s="79"/>
      <c r="E29" s="79"/>
      <c r="F29" s="79"/>
      <c r="G29" s="79"/>
      <c r="H29" s="79"/>
      <c r="I29" s="79"/>
      <c r="J29" s="79"/>
    </row>
    <row r="30" customFormat="false" ht="15" hidden="false" customHeight="false" outlineLevel="0" collapsed="false">
      <c r="A30" s="79"/>
      <c r="B30" s="25"/>
      <c r="C30" s="79"/>
      <c r="D30" s="79"/>
      <c r="E30" s="79"/>
      <c r="F30" s="79"/>
      <c r="G30" s="79"/>
      <c r="H30" s="79"/>
      <c r="I30" s="79"/>
      <c r="J30" s="79"/>
    </row>
    <row r="31" customFormat="false" ht="15" hidden="false" customHeight="false" outlineLevel="0" collapsed="false">
      <c r="A31" s="79"/>
      <c r="B31" s="25"/>
      <c r="C31" s="79"/>
      <c r="D31" s="79"/>
      <c r="E31" s="79"/>
      <c r="F31" s="79"/>
      <c r="G31" s="79"/>
      <c r="H31" s="79"/>
      <c r="I31" s="79"/>
      <c r="J31" s="79"/>
    </row>
    <row r="32" customFormat="false" ht="15" hidden="false" customHeight="false" outlineLevel="0" collapsed="false">
      <c r="A32" s="79"/>
      <c r="B32" s="25"/>
      <c r="C32" s="79"/>
      <c r="D32" s="79"/>
      <c r="E32" s="79"/>
      <c r="F32" s="79"/>
      <c r="G32" s="79"/>
      <c r="H32" s="79"/>
      <c r="I32" s="79"/>
      <c r="J32" s="79"/>
    </row>
    <row r="33" customFormat="false" ht="15" hidden="false" customHeight="false" outlineLevel="0" collapsed="false">
      <c r="A33" s="79"/>
      <c r="B33" s="25"/>
      <c r="C33" s="79"/>
      <c r="D33" s="79"/>
      <c r="E33" s="79"/>
      <c r="F33" s="79"/>
      <c r="G33" s="79"/>
      <c r="H33" s="79"/>
      <c r="I33" s="79"/>
      <c r="J33" s="79"/>
    </row>
    <row r="34" customFormat="false" ht="15" hidden="false" customHeight="false" outlineLevel="0" collapsed="false">
      <c r="A34" s="79"/>
      <c r="B34" s="25"/>
      <c r="C34" s="79"/>
      <c r="D34" s="79"/>
      <c r="E34" s="79"/>
      <c r="F34" s="79"/>
      <c r="G34" s="79"/>
      <c r="H34" s="79"/>
      <c r="I34" s="79"/>
      <c r="J34" s="79"/>
    </row>
    <row r="35" customFormat="false" ht="15" hidden="false" customHeight="false" outlineLevel="0" collapsed="false">
      <c r="A35" s="79"/>
      <c r="B35" s="25"/>
      <c r="C35" s="79"/>
      <c r="D35" s="79"/>
      <c r="E35" s="79"/>
      <c r="F35" s="79"/>
      <c r="G35" s="79"/>
      <c r="H35" s="79"/>
      <c r="I35" s="79"/>
      <c r="J35" s="79"/>
    </row>
    <row r="36" customFormat="false" ht="15" hidden="false" customHeight="false" outlineLevel="0" collapsed="false">
      <c r="A36" s="79"/>
      <c r="B36" s="25"/>
      <c r="C36" s="79"/>
      <c r="D36" s="79"/>
      <c r="E36" s="79"/>
      <c r="F36" s="79"/>
      <c r="G36" s="79"/>
      <c r="H36" s="79"/>
      <c r="I36" s="79"/>
      <c r="J36" s="79"/>
    </row>
    <row r="37" customFormat="false" ht="15" hidden="false" customHeight="false" outlineLevel="0" collapsed="false">
      <c r="A37" s="79"/>
      <c r="B37" s="25"/>
      <c r="C37" s="79"/>
      <c r="D37" s="79"/>
      <c r="E37" s="79"/>
      <c r="F37" s="79"/>
      <c r="G37" s="79"/>
      <c r="H37" s="79"/>
      <c r="I37" s="79"/>
      <c r="J37" s="79"/>
    </row>
    <row r="38" customFormat="false" ht="15" hidden="false" customHeight="false" outlineLevel="0" collapsed="false">
      <c r="A38" s="79"/>
      <c r="B38" s="25"/>
      <c r="C38" s="79"/>
      <c r="D38" s="79"/>
      <c r="E38" s="79"/>
      <c r="F38" s="79"/>
      <c r="G38" s="79"/>
      <c r="H38" s="79"/>
      <c r="I38" s="79"/>
      <c r="J38" s="79"/>
    </row>
    <row r="39" customFormat="false" ht="15" hidden="false" customHeight="false" outlineLevel="0" collapsed="false">
      <c r="A39" s="79"/>
      <c r="B39" s="25"/>
      <c r="C39" s="79"/>
      <c r="D39" s="79"/>
      <c r="E39" s="79"/>
      <c r="F39" s="79"/>
      <c r="G39" s="79"/>
      <c r="H39" s="79"/>
      <c r="I39" s="79"/>
      <c r="J39" s="79"/>
    </row>
    <row r="40" customFormat="false" ht="15" hidden="false" customHeight="false" outlineLevel="0" collapsed="false">
      <c r="A40" s="79"/>
      <c r="B40" s="25"/>
      <c r="C40" s="79"/>
      <c r="D40" s="79"/>
      <c r="E40" s="79"/>
      <c r="F40" s="79"/>
      <c r="G40" s="79"/>
      <c r="H40" s="79"/>
      <c r="I40" s="79"/>
      <c r="J40" s="79"/>
    </row>
    <row r="41" customFormat="false" ht="15" hidden="false" customHeight="false" outlineLevel="0" collapsed="false">
      <c r="A41" s="79"/>
      <c r="B41" s="25"/>
      <c r="C41" s="79"/>
      <c r="D41" s="79"/>
      <c r="E41" s="79"/>
      <c r="F41" s="79"/>
      <c r="G41" s="79"/>
      <c r="H41" s="79"/>
      <c r="I41" s="79"/>
      <c r="J41" s="79"/>
    </row>
    <row r="42" customFormat="false" ht="15" hidden="false" customHeight="false" outlineLevel="0" collapsed="false">
      <c r="A42" s="79"/>
      <c r="B42" s="25"/>
      <c r="C42" s="79"/>
      <c r="D42" s="79"/>
      <c r="E42" s="79"/>
      <c r="F42" s="79"/>
      <c r="G42" s="79"/>
      <c r="H42" s="79"/>
      <c r="I42" s="79"/>
      <c r="J42" s="79"/>
    </row>
    <row r="43" customFormat="false" ht="15" hidden="false" customHeight="false" outlineLevel="0" collapsed="false">
      <c r="A43" s="79"/>
      <c r="B43" s="25"/>
      <c r="C43" s="79"/>
      <c r="D43" s="79"/>
      <c r="E43" s="79"/>
      <c r="F43" s="79"/>
      <c r="G43" s="79"/>
      <c r="H43" s="79"/>
      <c r="I43" s="79"/>
      <c r="J43" s="79"/>
    </row>
    <row r="44" customFormat="false" ht="15" hidden="false" customHeight="false" outlineLevel="0" collapsed="false">
      <c r="A44" s="79"/>
      <c r="B44" s="25"/>
      <c r="C44" s="79"/>
      <c r="D44" s="79"/>
      <c r="E44" s="79"/>
      <c r="F44" s="79"/>
      <c r="G44" s="79"/>
      <c r="H44" s="79"/>
      <c r="I44" s="79"/>
      <c r="J44" s="79"/>
    </row>
    <row r="45" customFormat="false" ht="15" hidden="false" customHeight="false" outlineLevel="0" collapsed="false">
      <c r="A45" s="79"/>
      <c r="B45" s="25"/>
      <c r="C45" s="79"/>
      <c r="D45" s="79"/>
      <c r="E45" s="79"/>
      <c r="F45" s="79"/>
      <c r="G45" s="79"/>
      <c r="H45" s="79"/>
      <c r="I45" s="79"/>
      <c r="J45" s="79"/>
    </row>
    <row r="46" customFormat="false" ht="15" hidden="false" customHeight="false" outlineLevel="0" collapsed="false">
      <c r="A46" s="79"/>
      <c r="B46" s="25"/>
      <c r="C46" s="79"/>
      <c r="D46" s="79"/>
      <c r="E46" s="79"/>
      <c r="F46" s="79"/>
      <c r="G46" s="79"/>
      <c r="H46" s="79"/>
      <c r="I46" s="79"/>
      <c r="J46" s="79"/>
    </row>
    <row r="47" customFormat="false" ht="15" hidden="false" customHeight="false" outlineLevel="0" collapsed="false">
      <c r="A47" s="79"/>
      <c r="B47" s="25"/>
      <c r="C47" s="79"/>
      <c r="D47" s="79"/>
      <c r="E47" s="79"/>
      <c r="F47" s="79"/>
      <c r="G47" s="79"/>
      <c r="H47" s="79"/>
      <c r="I47" s="79"/>
      <c r="J47" s="79"/>
    </row>
    <row r="48" customFormat="false" ht="15" hidden="false" customHeight="false" outlineLevel="0" collapsed="false">
      <c r="A48" s="79"/>
      <c r="B48" s="25"/>
      <c r="C48" s="79"/>
      <c r="D48" s="79"/>
      <c r="E48" s="79"/>
      <c r="F48" s="79"/>
      <c r="G48" s="79"/>
      <c r="H48" s="79"/>
      <c r="I48" s="79"/>
      <c r="J48" s="79"/>
    </row>
    <row r="49" customFormat="false" ht="15" hidden="false" customHeight="false" outlineLevel="0" collapsed="false">
      <c r="A49" s="79"/>
      <c r="B49" s="25"/>
      <c r="C49" s="79"/>
      <c r="D49" s="79"/>
      <c r="E49" s="79"/>
      <c r="F49" s="79"/>
      <c r="G49" s="79"/>
      <c r="H49" s="79"/>
      <c r="I49" s="79"/>
      <c r="J49" s="79"/>
    </row>
    <row r="50" customFormat="false" ht="15" hidden="false" customHeight="false" outlineLevel="0" collapsed="false">
      <c r="A50" s="79"/>
      <c r="B50" s="25"/>
      <c r="C50" s="79"/>
      <c r="D50" s="79"/>
      <c r="E50" s="79"/>
      <c r="F50" s="79"/>
      <c r="G50" s="79"/>
      <c r="H50" s="79"/>
      <c r="I50" s="79"/>
      <c r="J50" s="79"/>
    </row>
    <row r="51" customFormat="false" ht="15" hidden="false" customHeight="false" outlineLevel="0" collapsed="false">
      <c r="A51" s="79"/>
      <c r="B51" s="25"/>
      <c r="C51" s="79"/>
      <c r="D51" s="79"/>
      <c r="E51" s="79"/>
      <c r="F51" s="79"/>
      <c r="G51" s="79"/>
      <c r="H51" s="79"/>
      <c r="I51" s="79"/>
      <c r="J51" s="79"/>
    </row>
    <row r="52" customFormat="false" ht="15" hidden="false" customHeight="false" outlineLevel="0" collapsed="false">
      <c r="A52" s="79"/>
      <c r="B52" s="25"/>
      <c r="C52" s="79"/>
      <c r="D52" s="79"/>
      <c r="E52" s="79"/>
      <c r="F52" s="79"/>
      <c r="G52" s="79"/>
      <c r="H52" s="79"/>
      <c r="I52" s="79"/>
      <c r="J52" s="79"/>
    </row>
    <row r="53" customFormat="false" ht="15" hidden="false" customHeight="false" outlineLevel="0" collapsed="false">
      <c r="A53" s="79"/>
      <c r="B53" s="25"/>
      <c r="C53" s="79"/>
      <c r="D53" s="79"/>
      <c r="E53" s="79"/>
      <c r="F53" s="79"/>
      <c r="G53" s="79"/>
      <c r="H53" s="79"/>
      <c r="I53" s="79"/>
      <c r="J53" s="79"/>
    </row>
    <row r="54" customFormat="false" ht="15" hidden="false" customHeight="false" outlineLevel="0" collapsed="false">
      <c r="A54" s="79"/>
      <c r="B54" s="25"/>
      <c r="C54" s="79"/>
      <c r="D54" s="79"/>
      <c r="E54" s="79"/>
      <c r="F54" s="79"/>
      <c r="G54" s="79"/>
      <c r="H54" s="79"/>
      <c r="I54" s="79"/>
      <c r="J54" s="79"/>
    </row>
  </sheetData>
  <dataValidations count="1">
    <dataValidation allowBlank="true" errorStyle="stop" operator="between" showDropDown="false" showErrorMessage="false" showInputMessage="false" sqref="J4:J54" type="list">
      <formula1>"Đề xuất,Đã duyệt,Từ chối,Đã áp dụng,Ví dụ"</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2026-10-16T12:29:20Z</dcterms:created>
  <dc:creator>openpyxl</dc:creator>
  <dc:description/>
  <dc:language>en-US</dc:language>
  <cp:lastModifiedBy/>
  <dcterms:modified xsi:type="dcterms:W3CDTF">2026-10-16T12:29:20Z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